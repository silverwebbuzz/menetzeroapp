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Introduction" sheetId="1" state="visible" r:id="rId3"/>
    <sheet name="Cat 1 – Purchased Goods" sheetId="2" state="visible" r:id="rId4"/>
    <sheet name="Cat 2 – Capital Goods" sheetId="3" state="visible" r:id="rId5"/>
    <sheet name="Cat 3 – Fuel &amp; Energy (EUOU)" sheetId="4" state="visible" r:id="rId6"/>
    <sheet name="Cat 4 – Upstream Transport" sheetId="5" state="visible" r:id="rId7"/>
    <sheet name="Cat 5 – Waste Generated" sheetId="6" state="visible" r:id="rId8"/>
    <sheet name="Cat 6 – Business Travel" sheetId="7" state="visible" r:id="rId9"/>
    <sheet name="Cat 7 – Employee Commuting" sheetId="8" state="visible" r:id="rId10"/>
    <sheet name="Cat 8 – Upstream Leased Assets" sheetId="9" state="visible" r:id="rId11"/>
    <sheet name="Cat 9 – Downstream Transport" sheetId="10" state="visible" r:id="rId12"/>
    <sheet name="Cat 10 – Processing of Products" sheetId="11" state="visible" r:id="rId13"/>
    <sheet name="Cat 11 – Use of Sold Products" sheetId="12" state="visible" r:id="rId14"/>
    <sheet name="Cat 12 – End-of-Life Treatment" sheetId="13" state="visible" r:id="rId15"/>
    <sheet name="Cat 13 – Downstream Leased Asse" sheetId="14" state="visible" r:id="rId16"/>
    <sheet name="Cat 14 – Franchises" sheetId="15" state="visible" r:id="rId17"/>
    <sheet name="Cat 15 – Investments" sheetId="16" state="visible" r:id="rId18"/>
    <sheet name="Supplier Bank" sheetId="17" state="visible" r:id="rId19"/>
    <sheet name="Client Scope 3 Tracker" sheetId="18" state="visible" r:id="rId20"/>
    <sheet name="Carbon Intelligence" sheetId="19" state="visible" r:id="rId21"/>
    <sheet name="Emission Factors Ref" sheetId="20" state="visible" r:id="rId22"/>
    <sheet name="App Introduction Guide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<sst xmlns="http://schemas.openxmlformats.org/spreadsheetml/2006/main" count="4865" uniqueCount="1988">
  <si>
    <t xml:space="preserve">CARBON INTELLIGENCE PLATFORM  |  Supplier Self-Report × Scope 3 Cross-Link</t>
  </si>
  <si>
    <t xml:space="preserve">End-to-end framework: Supplier portal → Emission bank → Client Scope 3 → Carbon intelligence</t>
  </si>
  <si>
    <t xml:space="preserve">WHAT IS THIS WORKBOOK?</t>
  </si>
  <si>
    <t xml:space="preserve">This workbook is the operational backbone for a Supplier Self-Report Portal linked to your clients' Scope 3 emissions. It has three interlocking layers:</t>
  </si>
  <si>
    <t xml:space="preserve">LAYER 1 — SUPPLIER PORTAL (Sheets: Cat 1 to Cat 15)</t>
  </si>
  <si>
    <t xml:space="preserve">Each Scope 3 category has its own data-entry sheet. Suppliers fill in their Scope 1+2 emissions, intensity metrics, verification status, and methodology. One supplier can serve multiple clients — their data is collected once and allocated by spend/volume.</t>
  </si>
  <si>
    <t xml:space="preserve">LAYER 2 — EMISSION BANK &amp; CLIENT SCOPE 3 (Sheets: Supplier Bank, Client Tracker)</t>
  </si>
  <si>
    <t xml:space="preserve">Verified supplier entries populate the Emission Bank. The Client Scope 3 Tracker pulls from this bank and allocates emissions to each client based on spend share. The Dashboard shows each client's full Scope 3 profile across all 15 categories.</t>
  </si>
  <si>
    <t xml:space="preserve">LAYER 3 — CARBON INTELLIGENCE (Sheet: Carbon Intelligence)</t>
  </si>
  <si>
    <t xml:space="preserve">Analytics layer: hotspot analysis, year-on-year reduction tracking, supplier decarbonization progress, SBTi alignment gap, BRSR/GRI cross-reference, and engagement priority scoring for suppliers.</t>
  </si>
  <si>
    <t xml:space="preserve">SHEET NAVIGATION</t>
  </si>
  <si>
    <t xml:space="preserve">Sheet Name</t>
  </si>
  <si>
    <t xml:space="preserve">Purpose</t>
  </si>
  <si>
    <t xml:space="preserve">Who Fills It</t>
  </si>
  <si>
    <t xml:space="preserve">Key Output</t>
  </si>
  <si>
    <t xml:space="preserve">Linked To</t>
  </si>
  <si>
    <t xml:space="preserve">Cat 1 – Purchased Goods</t>
  </si>
  <si>
    <t xml:space="preserve">Scope 3 Cat 1 supplier data entry</t>
  </si>
  <si>
    <t xml:space="preserve">Supplier / ESG Team</t>
  </si>
  <si>
    <t xml:space="preserve">Emission intensity (tCO2e/spend)</t>
  </si>
  <si>
    <t xml:space="preserve">Supplier Bank</t>
  </si>
  <si>
    <t xml:space="preserve">Cat 2 – Capital Goods</t>
  </si>
  <si>
    <t xml:space="preserve">Machinery &amp; equipment emissions</t>
  </si>
  <si>
    <t xml:space="preserve">Supplier / Finance</t>
  </si>
  <si>
    <t xml:space="preserve">tCO2e per asset</t>
  </si>
  <si>
    <t xml:space="preserve">Cat 3 – Fuel &amp; Energy</t>
  </si>
  <si>
    <t xml:space="preserve">Upstream energy emissions (T&amp;D, WTT)</t>
  </si>
  <si>
    <t xml:space="preserve">Internal / Utility</t>
  </si>
  <si>
    <t xml:space="preserve">tCO2e per kWh consumed</t>
  </si>
  <si>
    <t xml:space="preserve">Client Tracker</t>
  </si>
  <si>
    <t xml:space="preserve">Cat 4 – Transport (Up)</t>
  </si>
  <si>
    <t xml:space="preserve">Upstream freight &amp; logistics</t>
  </si>
  <si>
    <t xml:space="preserve">3PL / Supplier</t>
  </si>
  <si>
    <t xml:space="preserve">tCO2e per tonne-km</t>
  </si>
  <si>
    <t xml:space="preserve">Cat 5 – Waste</t>
  </si>
  <si>
    <t xml:space="preserve">Waste disposal emissions</t>
  </si>
  <si>
    <t xml:space="preserve">Facility / Supplier</t>
  </si>
  <si>
    <t xml:space="preserve">tCO2e per tonne waste</t>
  </si>
  <si>
    <t xml:space="preserve">Cat 6 – Business Travel</t>
  </si>
  <si>
    <t xml:space="preserve">Flights, hotels, car hire</t>
  </si>
  <si>
    <t xml:space="preserve">Internal HR/Finance</t>
  </si>
  <si>
    <t xml:space="preserve">tCO2e per trip / INR</t>
  </si>
  <si>
    <t xml:space="preserve">Cat 7 – Commuting</t>
  </si>
  <si>
    <t xml:space="preserve">Employee commute + WFH energy</t>
  </si>
  <si>
    <t xml:space="preserve">Internal HR</t>
  </si>
  <si>
    <t xml:space="preserve">tCO2e per employee</t>
  </si>
  <si>
    <t xml:space="preserve">Cat 8 – Leased Assets (Up)</t>
  </si>
  <si>
    <t xml:space="preserve">Upstream leased equip/buildings</t>
  </si>
  <si>
    <t xml:space="preserve">Finance / FM</t>
  </si>
  <si>
    <t xml:space="preserve">Cat 9 – Transport (Down)</t>
  </si>
  <si>
    <t xml:space="preserve">Outbound logistics to customers</t>
  </si>
  <si>
    <t xml:space="preserve">3PL / Sales Ops</t>
  </si>
  <si>
    <t xml:space="preserve">Cat 10 – Processing</t>
  </si>
  <si>
    <t xml:space="preserve">Further processing of sold products</t>
  </si>
  <si>
    <t xml:space="preserve">Customer / Partner</t>
  </si>
  <si>
    <t xml:space="preserve">tCO2e per tonne output</t>
  </si>
  <si>
    <t xml:space="preserve">Cat 11 – Use of Products</t>
  </si>
  <si>
    <t xml:space="preserve">Emissions during product use phase</t>
  </si>
  <si>
    <t xml:space="preserve">Product / Engineering</t>
  </si>
  <si>
    <t xml:space="preserve">tCO2e per unit per year</t>
  </si>
  <si>
    <t xml:space="preserve">Cat 12 – End of Life</t>
  </si>
  <si>
    <t xml:space="preserve">Disposal of sold products</t>
  </si>
  <si>
    <t xml:space="preserve">Waste Partner</t>
  </si>
  <si>
    <t xml:space="preserve">tCO2e per tonne disposed</t>
  </si>
  <si>
    <t xml:space="preserve">Cat 13 – Leased (Down)</t>
  </si>
  <si>
    <t xml:space="preserve">Assets leased OUT to others</t>
  </si>
  <si>
    <t xml:space="preserve">Finance / Legal</t>
  </si>
  <si>
    <t xml:space="preserve">Cat 14 – Franchises</t>
  </si>
  <si>
    <t xml:space="preserve">Franchisee operations emissions</t>
  </si>
  <si>
    <t xml:space="preserve">Franchise Ops</t>
  </si>
  <si>
    <t xml:space="preserve">tCO2e per franchise unit</t>
  </si>
  <si>
    <t xml:space="preserve">Cat 15 – Investments</t>
  </si>
  <si>
    <t xml:space="preserve">Financed emissions (portfolio)</t>
  </si>
  <si>
    <t xml:space="preserve">Finance / Risk</t>
  </si>
  <si>
    <t xml:space="preserve">tCO2e per INR Cr invested</t>
  </si>
  <si>
    <t xml:space="preserve">Master emission record for all suppliers</t>
  </si>
  <si>
    <t xml:space="preserve">ESG Consultant</t>
  </si>
  <si>
    <t xml:space="preserve">Verified intensity by supplier</t>
  </si>
  <si>
    <t xml:space="preserve">All Cat sheets</t>
  </si>
  <si>
    <t xml:space="preserve">Client Scope 3 Tracker</t>
  </si>
  <si>
    <t xml:space="preserve">Per-client Scope 3 across all 15 cats</t>
  </si>
  <si>
    <t xml:space="preserve">Total tCO2e per client per cat</t>
  </si>
  <si>
    <t xml:space="preserve">Carbon Intelligence</t>
  </si>
  <si>
    <t xml:space="preserve">Analytics, hotspots, reduction targets</t>
  </si>
  <si>
    <t xml:space="preserve">Insights, gaps, priorities</t>
  </si>
  <si>
    <t xml:space="preserve">SCOPE 3 CATEGORY SUPPLIER PORTAL  |  PURCHASED GOODS &amp; SERVICES</t>
  </si>
  <si>
    <t xml:space="preserve">  ⬆  UPSTREAM EMISSION   |   Methodology: Spend-based allocation: Supplier (Scope1+Scope2) × (Client spend / Total supplier revenue)</t>
  </si>
  <si>
    <t xml:space="preserve">  SUPPLIER INSTRUCTIONS: Fill all blue-shaded columns. Leave formula columns (green) untouched. For unknown values, use industry average from the Emission Factors reference sheet. Submit one row per supplier / activity. Data Quality: Primary &gt; Secondary &gt; Spend-based.</t>
  </si>
  <si>
    <t xml:space="preserve">Group</t>
  </si>
  <si>
    <t xml:space="preserve">Sub-category / Commodity</t>
  </si>
  <si>
    <t xml:space="preserve">Unit</t>
  </si>
  <si>
    <t xml:space="preserve">Physical EF
(tCO2e/unit)</t>
  </si>
  <si>
    <t xml:space="preserve">EEIO EF
(tCO2e/INR Lakh)</t>
  </si>
  <si>
    <t xml:space="preserve">Quantity
(fill)</t>
  </si>
  <si>
    <t xml:space="preserve">Spend
(INR Lakh, fill)</t>
  </si>
  <si>
    <t xml:space="preserve">tCO2e</t>
  </si>
  <si>
    <t xml:space="preserve">Preferred
Method</t>
  </si>
  <si>
    <t xml:space="preserve">Source</t>
  </si>
  <si>
    <t xml:space="preserve">Notes</t>
  </si>
  <si>
    <t xml:space="preserve">  ▸  METALS &amp; ALLOYS</t>
  </si>
  <si>
    <t xml:space="preserve">Metals</t>
  </si>
  <si>
    <t xml:space="preserve">Steel — Hot Rolled Coils / Sheets</t>
  </si>
  <si>
    <t xml:space="preserve">tonnes</t>
  </si>
  <si>
    <t xml:space="preserve">Physical preferred</t>
  </si>
  <si>
    <t xml:space="preserve">Worldsteel 2023</t>
  </si>
  <si>
    <t xml:space="preserve">Automotive, industrial</t>
  </si>
  <si>
    <t xml:space="preserve">Steel — Cold Rolled Sheets</t>
  </si>
  <si>
    <t xml:space="preserve">Auto body panels</t>
  </si>
  <si>
    <t xml:space="preserve">Steel — Structural (TMT bars, beams)</t>
  </si>
  <si>
    <t xml:space="preserve">Construction</t>
  </si>
  <si>
    <t xml:space="preserve">Steel — Stainless (304/316 grade)</t>
  </si>
  <si>
    <t xml:space="preserve">ISSF 2022</t>
  </si>
  <si>
    <t xml:space="preserve">Food, pharma, chemical</t>
  </si>
  <si>
    <t xml:space="preserve">Steel — Wire Rods</t>
  </si>
  <si>
    <t xml:space="preserve">Cable, fasteners</t>
  </si>
  <si>
    <t xml:space="preserve">Steel — Forgings</t>
  </si>
  <si>
    <t xml:space="preserve">Auto components</t>
  </si>
  <si>
    <t xml:space="preserve">Aluminium — Primary (virgin)</t>
  </si>
  <si>
    <t xml:space="preserve">IAI 2022</t>
  </si>
  <si>
    <t xml:space="preserve">Packaging, auto</t>
  </si>
  <si>
    <t xml:space="preserve">Aluminium — Secondary (recycled)</t>
  </si>
  <si>
    <t xml:space="preserve">Prefer recycled</t>
  </si>
  <si>
    <t xml:space="preserve">Aluminium — Extrusions / Profiles</t>
  </si>
  <si>
    <t xml:space="preserve">Window frames, auto</t>
  </si>
  <si>
    <t xml:space="preserve">Copper — Wire Rods</t>
  </si>
  <si>
    <t xml:space="preserve">ICSG 2022</t>
  </si>
  <si>
    <t xml:space="preserve">Cables, motors</t>
  </si>
  <si>
    <t xml:space="preserve">Copper — Pipes &amp; Tubes</t>
  </si>
  <si>
    <t xml:space="preserve">HVAC, plumbing</t>
  </si>
  <si>
    <t xml:space="preserve">Zinc — Ingots (galvanising)</t>
  </si>
  <si>
    <t xml:space="preserve">IZA 2022</t>
  </si>
  <si>
    <t xml:space="preserve">Anti-corrosion</t>
  </si>
  <si>
    <t xml:space="preserve">Lead — Ingots</t>
  </si>
  <si>
    <t xml:space="preserve">ILA 2022</t>
  </si>
  <si>
    <t xml:space="preserve">Batteries</t>
  </si>
  <si>
    <t xml:space="preserve">Cast Iron — Components</t>
  </si>
  <si>
    <t xml:space="preserve">Ecoinvent 3.9</t>
  </si>
  <si>
    <t xml:space="preserve">Castings</t>
  </si>
  <si>
    <t xml:space="preserve">  ▸  CHEMICALS &amp; PETROCHEMICALS</t>
  </si>
  <si>
    <t xml:space="preserve">Chemicals</t>
  </si>
  <si>
    <t xml:space="preserve">Basic Chemicals — Caustic Soda (NaOH)</t>
  </si>
  <si>
    <t xml:space="preserve">IPCC / IEA</t>
  </si>
  <si>
    <t xml:space="preserve">Chemical process</t>
  </si>
  <si>
    <t xml:space="preserve">Basic Chemicals — Chlorine</t>
  </si>
  <si>
    <t xml:space="preserve">Water treatment</t>
  </si>
  <si>
    <t xml:space="preserve">Basic Chemicals — Sulphuric Acid</t>
  </si>
  <si>
    <t xml:space="preserve">Fertilizer, battery</t>
  </si>
  <si>
    <t xml:space="preserve">Specialty Chemicals (general)</t>
  </si>
  <si>
    <t xml:space="preserve">INR Lakh</t>
  </si>
  <si>
    <t xml:space="preserve">—</t>
  </si>
  <si>
    <t xml:space="preserve">EEIO only</t>
  </si>
  <si>
    <t xml:space="preserve">India EXIOBASE 2022</t>
  </si>
  <si>
    <t xml:space="preserve">Wide range</t>
  </si>
  <si>
    <t xml:space="preserve">Polymers — HDPE Granules</t>
  </si>
  <si>
    <t xml:space="preserve">Plastics Europe 2022</t>
  </si>
  <si>
    <t xml:space="preserve">Pipes, packaging</t>
  </si>
  <si>
    <t xml:space="preserve">Polymers — PP Granules</t>
  </si>
  <si>
    <t xml:space="preserve">Auto parts, packaging</t>
  </si>
  <si>
    <t xml:space="preserve">Polymers — PET Granules</t>
  </si>
  <si>
    <t xml:space="preserve">Bottles, fibre</t>
  </si>
  <si>
    <t xml:space="preserve">Polymers — PVC (rigid/flexible)</t>
  </si>
  <si>
    <t xml:space="preserve">Pipes, cable insulation</t>
  </si>
  <si>
    <t xml:space="preserve">Polymers — Recycled Plastic (mixed)</t>
  </si>
  <si>
    <t xml:space="preserve">DEFRA 2024</t>
  </si>
  <si>
    <t xml:space="preserve">Avoided virgin production</t>
  </si>
  <si>
    <t xml:space="preserve">Paints &amp; Coatings</t>
  </si>
  <si>
    <t xml:space="preserve">Industrial / decorative</t>
  </si>
  <si>
    <t xml:space="preserve">Adhesives &amp; Sealants</t>
  </si>
  <si>
    <t xml:space="preserve">Assembly, construction</t>
  </si>
  <si>
    <t xml:space="preserve">Lubricants &amp; Mineral Oils</t>
  </si>
  <si>
    <t xml:space="preserve">IPCC 2006</t>
  </si>
  <si>
    <t xml:space="preserve">Maintenance</t>
  </si>
  <si>
    <t xml:space="preserve">Fertilizers — Urea (N-based)</t>
  </si>
  <si>
    <t xml:space="preserve">IFA 2022</t>
  </si>
  <si>
    <t xml:space="preserve">Agriculture</t>
  </si>
  <si>
    <t xml:space="preserve">Fertilizers — DAP (Phosphate)</t>
  </si>
  <si>
    <t xml:space="preserve">  ▸  PHARMACEUTICALS</t>
  </si>
  <si>
    <t xml:space="preserve">Pharma</t>
  </si>
  <si>
    <t xml:space="preserve">API — Active Pharmaceutical Ingredients</t>
  </si>
  <si>
    <t xml:space="preserve">Ecoinvent 3.9 / GHG Protocol</t>
  </si>
  <si>
    <t xml:space="preserve">High-value, energy-intensive</t>
  </si>
  <si>
    <t xml:space="preserve">Excipients (bulk pharmaceutical)</t>
  </si>
  <si>
    <t xml:space="preserve">Binders, fillers</t>
  </si>
  <si>
    <t xml:space="preserve">Medical Devices — Class I</t>
  </si>
  <si>
    <t xml:space="preserve">Disposables, instruments</t>
  </si>
  <si>
    <t xml:space="preserve">Medical Devices — Class II/III</t>
  </si>
  <si>
    <t xml:space="preserve">Implants, diagnostics</t>
  </si>
  <si>
    <t xml:space="preserve">  ▸  TEXTILES &amp; APPAREL</t>
  </si>
  <si>
    <t xml:space="preserve">Textiles</t>
  </si>
  <si>
    <t xml:space="preserve">Cotton — Raw (seed cotton)</t>
  </si>
  <si>
    <t xml:space="preserve">Textile Exchange 2022</t>
  </si>
  <si>
    <t xml:space="preserve">Agricultural Scope 3</t>
  </si>
  <si>
    <t xml:space="preserve">Cotton — Yarn (ring spun)</t>
  </si>
  <si>
    <t xml:space="preserve">Weaving input</t>
  </si>
  <si>
    <t xml:space="preserve">Cotton — Woven Fabric (grey)</t>
  </si>
  <si>
    <t xml:space="preserve">Apparel, home textile</t>
  </si>
  <si>
    <t xml:space="preserve">Cotton — Processed Fabric (dyed)</t>
  </si>
  <si>
    <t xml:space="preserve">Wet processing intensive</t>
  </si>
  <si>
    <t xml:space="preserve">Polyester — Staple Fibre</t>
  </si>
  <si>
    <t xml:space="preserve">High fossil footprint</t>
  </si>
  <si>
    <t xml:space="preserve">Polyester — Filament Yarn</t>
  </si>
  <si>
    <t xml:space="preserve">Sportswear, linings</t>
  </si>
  <si>
    <t xml:space="preserve">Polyester — Recycled (rPET)</t>
  </si>
  <si>
    <t xml:space="preserve">Lower impact</t>
  </si>
  <si>
    <t xml:space="preserve">Nylon (PA6 / PA6,6)</t>
  </si>
  <si>
    <t xml:space="preserve">Hosiery, technical</t>
  </si>
  <si>
    <t xml:space="preserve">Wool</t>
  </si>
  <si>
    <t xml:space="preserve">Methane from sheep</t>
  </si>
  <si>
    <t xml:space="preserve">Denim Fabric</t>
  </si>
  <si>
    <t xml:space="preserve">MADE-BY 2022</t>
  </si>
  <si>
    <t xml:space="preserve">Garment industry</t>
  </si>
  <si>
    <t xml:space="preserve">Finished Garments (cotton)</t>
  </si>
  <si>
    <t xml:space="preserve">units (pcs)</t>
  </si>
  <si>
    <t xml:space="preserve">Higg MSI 2022</t>
  </si>
  <si>
    <t xml:space="preserve">Per garment avg</t>
  </si>
  <si>
    <t xml:space="preserve">  ▸  ELECTRONICS &amp; ELECTRICAL</t>
  </si>
  <si>
    <t xml:space="preserve">Electronics</t>
  </si>
  <si>
    <t xml:space="preserve">PCBs — Printed Circuit Boards</t>
  </si>
  <si>
    <t xml:space="preserve">kg</t>
  </si>
  <si>
    <t xml:space="preserve">IPC / Ecoinvent 3.9</t>
  </si>
  <si>
    <t xml:space="preserve">Multi-layer board</t>
  </si>
  <si>
    <t xml:space="preserve">Semiconductors / Chips</t>
  </si>
  <si>
    <t xml:space="preserve">SEMI / Ecoinvent 3.9</t>
  </si>
  <si>
    <t xml:space="preserve">Fab energy-intensive</t>
  </si>
  <si>
    <t xml:space="preserve">Cables &amp; Wires (Cu conductor)</t>
  </si>
  <si>
    <t xml:space="preserve">Mixed cable</t>
  </si>
  <si>
    <t xml:space="preserve">Li-ion Battery (NMC cell)</t>
  </si>
  <si>
    <t xml:space="preserve">kWh capacity</t>
  </si>
  <si>
    <t xml:space="preserve">IEA 2023 / LCA studies</t>
  </si>
  <si>
    <t xml:space="preserve">EV / storage</t>
  </si>
  <si>
    <t xml:space="preserve">Lead Acid Battery</t>
  </si>
  <si>
    <t xml:space="preserve">UPS, vehicles</t>
  </si>
  <si>
    <t xml:space="preserve">Solar PV Module</t>
  </si>
  <si>
    <t xml:space="preserve">Wp</t>
  </si>
  <si>
    <t xml:space="preserve">IRENA 2022</t>
  </si>
  <si>
    <t xml:space="preserve">Mono/poly crystalline</t>
  </si>
  <si>
    <t xml:space="preserve">LED Components / Lamps</t>
  </si>
  <si>
    <t xml:space="preserve">units</t>
  </si>
  <si>
    <t xml:space="preserve">Finished LED product</t>
  </si>
  <si>
    <t xml:space="preserve">Electrical Switchgear (LV/MV)</t>
  </si>
  <si>
    <t xml:space="preserve">Panel, breakers</t>
  </si>
  <si>
    <t xml:space="preserve">  ▸  PAPER &amp; PACKAGING</t>
  </si>
  <si>
    <t xml:space="preserve">Packaging</t>
  </si>
  <si>
    <t xml:space="preserve">Paper — Uncoated Writing &amp; Printing</t>
  </si>
  <si>
    <t xml:space="preserve">Offices</t>
  </si>
  <si>
    <t xml:space="preserve">Paper — Coated Art Paper</t>
  </si>
  <si>
    <t xml:space="preserve">Brochures, packaging</t>
  </si>
  <si>
    <t xml:space="preserve">Corrugated Board / Boxes</t>
  </si>
  <si>
    <t xml:space="preserve">Secondary packaging</t>
  </si>
  <si>
    <t xml:space="preserve">Carton (folding boxboard)</t>
  </si>
  <si>
    <t xml:space="preserve">Primary packaging</t>
  </si>
  <si>
    <t xml:space="preserve">Flexible Packaging — BOPP Film</t>
  </si>
  <si>
    <t xml:space="preserve">Snack bags, labels</t>
  </si>
  <si>
    <t xml:space="preserve">Flexible Packaging — PET Film</t>
  </si>
  <si>
    <t xml:space="preserve">Laminates</t>
  </si>
  <si>
    <t xml:space="preserve">Glass Bottles (amber/clear)</t>
  </si>
  <si>
    <t xml:space="preserve">Glass Alliance Europe 2022</t>
  </si>
  <si>
    <t xml:space="preserve">Pharma, beverages</t>
  </si>
  <si>
    <t xml:space="preserve">Aluminium Cans</t>
  </si>
  <si>
    <t xml:space="preserve">Beverages</t>
  </si>
  <si>
    <t xml:space="preserve">Steel Cans / Tins</t>
  </si>
  <si>
    <t xml:space="preserve">Food, paint</t>
  </si>
  <si>
    <t xml:space="preserve">HDPE Drums / Containers</t>
  </si>
  <si>
    <t xml:space="preserve">Chemicals, pharma</t>
  </si>
  <si>
    <t xml:space="preserve">  ▸  CONSTRUCTION MATERIALS</t>
  </si>
  <si>
    <t xml:space="preserve">Cement — OPC (Ordinary Portland)</t>
  </si>
  <si>
    <t xml:space="preserve">IEA Cement 2023</t>
  </si>
  <si>
    <t xml:space="preserve">Standard construction</t>
  </si>
  <si>
    <t xml:space="preserve">Cement — PPC (Portland Pozzolana)</t>
  </si>
  <si>
    <t xml:space="preserve">Blended, lower carbon</t>
  </si>
  <si>
    <t xml:space="preserve">Cement — PSC (Slag based)</t>
  </si>
  <si>
    <t xml:space="preserve">Lowest carbon cement</t>
  </si>
  <si>
    <t xml:space="preserve">Ready Mix Concrete (M20)</t>
  </si>
  <si>
    <t xml:space="preserve">m³</t>
  </si>
  <si>
    <t xml:space="preserve">Standard grade</t>
  </si>
  <si>
    <t xml:space="preserve">Ready Mix Concrete (M40+)</t>
  </si>
  <si>
    <t xml:space="preserve">High strength</t>
  </si>
  <si>
    <t xml:space="preserve">TMT Bars (Fe415/500)</t>
  </si>
  <si>
    <t xml:space="preserve">Reinforcement steel</t>
  </si>
  <si>
    <t xml:space="preserve">Fly Ash Bricks</t>
  </si>
  <si>
    <t xml:space="preserve">1000 bricks</t>
  </si>
  <si>
    <t xml:space="preserve">NITI Aayog / TERI 2022</t>
  </si>
  <si>
    <t xml:space="preserve">Low carbon alternative</t>
  </si>
  <si>
    <t xml:space="preserve">Clay Bricks (traditional kiln)</t>
  </si>
  <si>
    <t xml:space="preserve">Coal/biomass kiln</t>
  </si>
  <si>
    <t xml:space="preserve">AAC Blocks (autoclaved)</t>
  </si>
  <si>
    <t xml:space="preserve">Lightweight construction</t>
  </si>
  <si>
    <t xml:space="preserve">Aggregate (crushed stone)</t>
  </si>
  <si>
    <t xml:space="preserve">Quarry extraction only</t>
  </si>
  <si>
    <t xml:space="preserve">River Sand / M-Sand</t>
  </si>
  <si>
    <t xml:space="preserve">Low process EF</t>
  </si>
  <si>
    <t xml:space="preserve">Ceramic Tiles</t>
  </si>
  <si>
    <t xml:space="preserve">Tile EF database 2022</t>
  </si>
  <si>
    <t xml:space="preserve">Floor/wall tiles</t>
  </si>
  <si>
    <t xml:space="preserve">Vitrified Tiles</t>
  </si>
  <si>
    <t xml:space="preserve">High-gloss finish</t>
  </si>
  <si>
    <t xml:space="preserve">Float Glass (4mm)</t>
  </si>
  <si>
    <t xml:space="preserve">Windows, facades</t>
  </si>
  <si>
    <t xml:space="preserve">Plywood (interior)</t>
  </si>
  <si>
    <t xml:space="preserve">Formwork, furniture</t>
  </si>
  <si>
    <t xml:space="preserve">  ▸  FOOD &amp; AGRI COMMODITIES</t>
  </si>
  <si>
    <t xml:space="preserve">Food &amp; Agri</t>
  </si>
  <si>
    <t xml:space="preserve">Wheat Grain</t>
  </si>
  <si>
    <t xml:space="preserve">FAO / IPCC 2022</t>
  </si>
  <si>
    <t xml:space="preserve">Grain footprint</t>
  </si>
  <si>
    <t xml:space="preserve">Rice (milled)</t>
  </si>
  <si>
    <t xml:space="preserve">Methane from paddy</t>
  </si>
  <si>
    <t xml:space="preserve">Maize / Corn</t>
  </si>
  <si>
    <t xml:space="preserve">FAO 2022</t>
  </si>
  <si>
    <t xml:space="preserve">Feed grain</t>
  </si>
  <si>
    <t xml:space="preserve">Pulses (lentils, chickpea)</t>
  </si>
  <si>
    <t xml:space="preserve">Legumes, low N2O</t>
  </si>
  <si>
    <t xml:space="preserve">Edible Oil (palm refined)</t>
  </si>
  <si>
    <t xml:space="preserve">RSPO / Ecoinvent 3.9</t>
  </si>
  <si>
    <t xml:space="preserve">High deforestation risk</t>
  </si>
  <si>
    <t xml:space="preserve">Edible Oil (soybean)</t>
  </si>
  <si>
    <t xml:space="preserve">FAO / Ecoinvent 3.9</t>
  </si>
  <si>
    <t xml:space="preserve">LUC important</t>
  </si>
  <si>
    <t xml:space="preserve">Edible Oil (sunflower)</t>
  </si>
  <si>
    <t xml:space="preserve">Lower LUC</t>
  </si>
  <si>
    <t xml:space="preserve">Sugar (refined cane)</t>
  </si>
  <si>
    <t xml:space="preserve">Sugarcane EF 2022</t>
  </si>
  <si>
    <t xml:space="preserve">India specific</t>
  </si>
  <si>
    <t xml:space="preserve">Milk (liquid, farm gate)</t>
  </si>
  <si>
    <t xml:space="preserve">FAO / IDF 2022</t>
  </si>
  <si>
    <t xml:space="preserve">Enteric CH4 dominant</t>
  </si>
  <si>
    <t xml:space="preserve">Beef (farm gate)</t>
  </si>
  <si>
    <t xml:space="preserve">Highest livestock EF</t>
  </si>
  <si>
    <t xml:space="preserve">Chicken / Poultry</t>
  </si>
  <si>
    <t xml:space="preserve">Feed conversion ratio</t>
  </si>
  <si>
    <t xml:space="preserve">Shrimp / Seafood (farmed)</t>
  </si>
  <si>
    <t xml:space="preserve">Land use change</t>
  </si>
  <si>
    <t xml:space="preserve">Fresh Vegetables (avg)</t>
  </si>
  <si>
    <t xml:space="preserve">Low-intensity crops</t>
  </si>
  <si>
    <t xml:space="preserve">Tea (green/black, processed)</t>
  </si>
  <si>
    <t xml:space="preserve">Rainforest Alliance 2022</t>
  </si>
  <si>
    <t xml:space="preserve">Processing-intensive</t>
  </si>
  <si>
    <t xml:space="preserve">Coffee (roasted)</t>
  </si>
  <si>
    <t xml:space="preserve">World Coffee Research 2022</t>
  </si>
  <si>
    <t xml:space="preserve">Land use + processing</t>
  </si>
  <si>
    <t xml:space="preserve">  ▸  INDUSTRIAL CONSUMABLES</t>
  </si>
  <si>
    <t xml:space="preserve">Consumables</t>
  </si>
  <si>
    <t xml:space="preserve">Machine Cutting Tools (carbide)</t>
  </si>
  <si>
    <t xml:space="preserve">Machining ops</t>
  </si>
  <si>
    <t xml:space="preserve">Safety PPE (helmets, gloves, PPE kits)</t>
  </si>
  <si>
    <t xml:space="preserve">Worker safety</t>
  </si>
  <si>
    <t xml:space="preserve">Industrial Welding Consumables</t>
  </si>
  <si>
    <t xml:space="preserve">Wire, electrodes, gas</t>
  </si>
  <si>
    <t xml:space="preserve">Mechanical Spare Parts</t>
  </si>
  <si>
    <t xml:space="preserve">Maintenance parts</t>
  </si>
  <si>
    <t xml:space="preserve">Industrial Filters &amp; Membranes</t>
  </si>
  <si>
    <t xml:space="preserve">Air/water filters</t>
  </si>
  <si>
    <t xml:space="preserve">Cleaning Chemicals (industrial)</t>
  </si>
  <si>
    <t xml:space="preserve">Housekeeping</t>
  </si>
  <si>
    <t xml:space="preserve">  ▸  IT &amp; SOFTWARE SERVICES</t>
  </si>
  <si>
    <t xml:space="preserve">IT / Services</t>
  </si>
  <si>
    <t xml:space="preserve">Cloud Computing Services</t>
  </si>
  <si>
    <t xml:space="preserve">AWS/Azure/GCP</t>
  </si>
  <si>
    <t xml:space="preserve">Software Licenses (SaaS/ERP)</t>
  </si>
  <si>
    <t xml:space="preserve">MS365, SAP etc.</t>
  </si>
  <si>
    <t xml:space="preserve">IT Hardware — Laptops &amp; PCs</t>
  </si>
  <si>
    <t xml:space="preserve">Dell / HP LCA 2022</t>
  </si>
  <si>
    <t xml:space="preserve">Per device lifecycle</t>
  </si>
  <si>
    <t xml:space="preserve">IT Hardware — Servers (1U rack)</t>
  </si>
  <si>
    <t xml:space="preserve">Per server lifecycle</t>
  </si>
  <si>
    <t xml:space="preserve">IT Support &amp; Managed Services</t>
  </si>
  <si>
    <t xml:space="preserve">Remote work dominant</t>
  </si>
  <si>
    <t xml:space="preserve">  ▸  PROFESSIONAL SERVICES</t>
  </si>
  <si>
    <t xml:space="preserve">Services</t>
  </si>
  <si>
    <t xml:space="preserve">Legal &amp; Management Consulting</t>
  </si>
  <si>
    <t xml:space="preserve">DEFRA EEIO 2024</t>
  </si>
  <si>
    <t xml:space="preserve">Low material intensity</t>
  </si>
  <si>
    <t xml:space="preserve">Accounting &amp; Audit Services</t>
  </si>
  <si>
    <t xml:space="preserve">Office based</t>
  </si>
  <si>
    <t xml:space="preserve">Security &amp; Facility Management</t>
  </si>
  <si>
    <t xml:space="preserve">Labour intensive</t>
  </si>
  <si>
    <t xml:space="preserve">Catering &amp; Canteen Services</t>
  </si>
  <si>
    <t xml:space="preserve">Food + logistics</t>
  </si>
  <si>
    <t xml:space="preserve">Marketing &amp; Advertising</t>
  </si>
  <si>
    <t xml:space="preserve">Media &amp; print</t>
  </si>
  <si>
    <t xml:space="preserve">  ▸  UTILITIES (PURCHASED)</t>
  </si>
  <si>
    <t xml:space="preserve">Utilities</t>
  </si>
  <si>
    <t xml:space="preserve">Water — Municipal / GIDC supply</t>
  </si>
  <si>
    <t xml:space="preserve">DEFRA 2024 / CEA</t>
  </si>
  <si>
    <t xml:space="preserve">Pumping &amp; treatment</t>
  </si>
  <si>
    <t xml:space="preserve">Compressed Air (purchased)</t>
  </si>
  <si>
    <t xml:space="preserve">3rd party compressor</t>
  </si>
  <si>
    <t xml:space="preserve">Steam (purchased, industrial)</t>
  </si>
  <si>
    <t xml:space="preserve">GJ</t>
  </si>
  <si>
    <t xml:space="preserve">GHG Protocol guidance</t>
  </si>
  <si>
    <t xml:space="preserve">Coal/gas boiler based</t>
  </si>
  <si>
    <t xml:space="preserve">Industrial Nitrogen Gas (N2)</t>
  </si>
  <si>
    <t xml:space="preserve">Air separation unit</t>
  </si>
  <si>
    <t xml:space="preserve">Industrial Oxygen (O2)</t>
  </si>
  <si>
    <t xml:space="preserve">  ▸  TRANSPORT SERVICES (CONTRACTED / 3PL)</t>
  </si>
  <si>
    <t xml:space="preserve">Transport Svcs</t>
  </si>
  <si>
    <t xml:space="preserve">Road Freight (3PL diesel truck)</t>
  </si>
  <si>
    <t xml:space="preserve">tonne-km</t>
  </si>
  <si>
    <t xml:space="preserve">DEFRA 2024 / MoRTH</t>
  </si>
  <si>
    <t xml:space="preserve">Contract haulage</t>
  </si>
  <si>
    <t xml:space="preserve">Road Freight (3PL electric truck)</t>
  </si>
  <si>
    <t xml:space="preserve">EV fleet estimate</t>
  </si>
  <si>
    <t xml:space="preserve">Rail Freight (diesel)</t>
  </si>
  <si>
    <t xml:space="preserve">DEFRA 2024 / IR</t>
  </si>
  <si>
    <t xml:space="preserve">Indian Railways diesel</t>
  </si>
  <si>
    <t xml:space="preserve">Rail Freight (electric)</t>
  </si>
  <si>
    <t xml:space="preserve">DEFRA 2024 / CEA+IR</t>
  </si>
  <si>
    <t xml:space="preserve">Indian grid electrified</t>
  </si>
  <si>
    <t xml:space="preserve">Sea Freight (FCL container ship)</t>
  </si>
  <si>
    <t xml:space="preserve">IMO 4th GHG Study</t>
  </si>
  <si>
    <t xml:space="preserve">20ft/40ft container</t>
  </si>
  <si>
    <t xml:space="preserve">Air Freight (express cargo)</t>
  </si>
  <si>
    <t xml:space="preserve">DEFRA 2024 BEIS</t>
  </si>
  <si>
    <t xml:space="preserve">Highest EF mode</t>
  </si>
  <si>
    <t xml:space="preserve">  ▸  AGRICULTURE INPUTS &amp; RAW MATERIALS</t>
  </si>
  <si>
    <t xml:space="preserve">Agri Raw</t>
  </si>
  <si>
    <t xml:space="preserve">Timber / Sawn Wood</t>
  </si>
  <si>
    <t xml:space="preserve">IPCC / Ecoinvent 3.9</t>
  </si>
  <si>
    <t xml:space="preserve">Excl biogenic CO2</t>
  </si>
  <si>
    <t xml:space="preserve">Plywood (construction grade)</t>
  </si>
  <si>
    <t xml:space="preserve">Formaldehyde resin</t>
  </si>
  <si>
    <t xml:space="preserve">Natural Rubber</t>
  </si>
  <si>
    <t xml:space="preserve">IRSG 2022</t>
  </si>
  <si>
    <t xml:space="preserve">Plantation + processing</t>
  </si>
  <si>
    <t xml:space="preserve">Jute (raw fibre)</t>
  </si>
  <si>
    <t xml:space="preserve">Low-carbon fibre</t>
  </si>
  <si>
    <t xml:space="preserve">Biomass (rice husk, agri residue)</t>
  </si>
  <si>
    <t xml:space="preserve">CH4/N2O combustion</t>
  </si>
  <si>
    <t xml:space="preserve">Biofuel Feedstock (Jatropha, sugarcane)</t>
  </si>
  <si>
    <t xml:space="preserve">LUC excluded</t>
  </si>
  <si>
    <t xml:space="preserve">TOTAL</t>
  </si>
  <si>
    <t xml:space="preserve">LEGEND:  Grey=Pre-filled EF   |   Blue=User fills   |   Green=Auto tCO2e   |   Method: Physical EF × Qty preferred; EEIO EF × Spend as fallback</t>
  </si>
  <si>
    <t xml:space="preserve">SCOPE 3 CATEGORY SUPPLIER PORTAL  |  CAPITAL GOODS (MACHINERY, EQUIPMENT, BUILDINGS)</t>
  </si>
  <si>
    <t xml:space="preserve">  ⬆  UPSTREAM EMISSION   |   Methodology: Capital goods: purchase price × emission factor. Amortise over useful life if annualising.</t>
  </si>
  <si>
    <t xml:space="preserve">Asset Type</t>
  </si>
  <si>
    <t xml:space="preserve">Sub-type / Description</t>
  </si>
  <si>
    <t xml:space="preserve">EF (tCO2e/INR Lakh)</t>
  </si>
  <si>
    <t xml:space="preserve">Purchase Value
(INR Lakh, fill)</t>
  </si>
  <si>
    <t xml:space="preserve">Useful Life
(years)</t>
  </si>
  <si>
    <t xml:space="preserve">Qty
(fill)</t>
  </si>
  <si>
    <t xml:space="preserve">Total tCO2e</t>
  </si>
  <si>
    <t xml:space="preserve">Annualised
tCO2e</t>
  </si>
  <si>
    <t xml:space="preserve">  ▸  PRODUCTION &amp; PROCESSING EQUIPMENT</t>
  </si>
  <si>
    <t xml:space="preserve">Production</t>
  </si>
  <si>
    <t xml:space="preserve">CNC Machining Centre</t>
  </si>
  <si>
    <t xml:space="preserve">3-axis / 5-axis</t>
  </si>
  <si>
    <t xml:space="preserve">GHG Protocol / DEFRA</t>
  </si>
  <si>
    <t xml:space="preserve">Purchase value × EF</t>
  </si>
  <si>
    <t xml:space="preserve">Lathe Machine</t>
  </si>
  <si>
    <t xml:space="preserve">Manual / CNC</t>
  </si>
  <si>
    <t xml:space="preserve">Hydraulic Press</t>
  </si>
  <si>
    <t xml:space="preserve">50T–500T</t>
  </si>
  <si>
    <t xml:space="preserve">Injection Moulding Machine</t>
  </si>
  <si>
    <t xml:space="preserve">50T–2000T clamp</t>
  </si>
  <si>
    <t xml:space="preserve">Blow Moulding Machine</t>
  </si>
  <si>
    <t xml:space="preserve">PET/HDPE</t>
  </si>
  <si>
    <t xml:space="preserve">Extruder</t>
  </si>
  <si>
    <t xml:space="preserve">Single/twin screw</t>
  </si>
  <si>
    <t xml:space="preserve">Industrial Robot (welding/assembly)</t>
  </si>
  <si>
    <t xml:space="preserve">6-axis</t>
  </si>
  <si>
    <t xml:space="preserve">Conveyor System (belt/chain)</t>
  </si>
  <si>
    <t xml:space="preserve">Automated</t>
  </si>
  <si>
    <t xml:space="preserve">Packaging Machine</t>
  </si>
  <si>
    <t xml:space="preserve">FFS / cartoning</t>
  </si>
  <si>
    <t xml:space="preserve">  ▸  POWER &amp; ENERGY INFRASTRUCTURE</t>
  </si>
  <si>
    <t xml:space="preserve">Power</t>
  </si>
  <si>
    <t xml:space="preserve">Diesel Generator</t>
  </si>
  <si>
    <t xml:space="preserve">100–1000 kVA</t>
  </si>
  <si>
    <t xml:space="preserve">Gas Generator (DG)</t>
  </si>
  <si>
    <t xml:space="preserve">Natural gas fired</t>
  </si>
  <si>
    <t xml:space="preserve">Power Transformer</t>
  </si>
  <si>
    <t xml:space="preserve">11 kV / 33 kV</t>
  </si>
  <si>
    <t xml:space="preserve">Solar PV System (rooftop)</t>
  </si>
  <si>
    <t xml:space="preserve">kWp</t>
  </si>
  <si>
    <t xml:space="preserve">Solar PV System (ground-mount)</t>
  </si>
  <si>
    <t xml:space="preserve">Wind Turbine (captive)</t>
  </si>
  <si>
    <t xml:space="preserve">kW</t>
  </si>
  <si>
    <t xml:space="preserve">Li-ion Battery Storage (BESS)</t>
  </si>
  <si>
    <t xml:space="preserve">UPS System</t>
  </si>
  <si>
    <t xml:space="preserve">kVA</t>
  </si>
  <si>
    <t xml:space="preserve">EV Charging Station (AC slow)</t>
  </si>
  <si>
    <t xml:space="preserve">7.4 kW</t>
  </si>
  <si>
    <t xml:space="preserve">EV Charging Station (DC fast)</t>
  </si>
  <si>
    <t xml:space="preserve">50–150 kW</t>
  </si>
  <si>
    <t xml:space="preserve">  ▸  UTILITY EQUIPMENT</t>
  </si>
  <si>
    <t xml:space="preserve">Utility</t>
  </si>
  <si>
    <t xml:space="preserve">Air Compressor (screw type)</t>
  </si>
  <si>
    <t xml:space="preserve">HP</t>
  </si>
  <si>
    <t xml:space="preserve">Chiller (HVAC, water-cooled)</t>
  </si>
  <si>
    <t xml:space="preserve">TR</t>
  </si>
  <si>
    <t xml:space="preserve">Boiler (fire-tube, steam)</t>
  </si>
  <si>
    <t xml:space="preserve">kg/hr steam</t>
  </si>
  <si>
    <t xml:space="preserve">Heat Exchanger</t>
  </si>
  <si>
    <t xml:space="preserve">Shell &amp; tube</t>
  </si>
  <si>
    <t xml:space="preserve">Cooling Tower</t>
  </si>
  <si>
    <t xml:space="preserve">Pump (centrifugal)</t>
  </si>
  <si>
    <t xml:space="preserve">Blower / Fan (industrial)</t>
  </si>
  <si>
    <t xml:space="preserve">  ▸  MATERIAL HANDLING</t>
  </si>
  <si>
    <t xml:space="preserve">Handling</t>
  </si>
  <si>
    <t xml:space="preserve">Electric Forklift</t>
  </si>
  <si>
    <t xml:space="preserve">1T–5T capacity</t>
  </si>
  <si>
    <t xml:space="preserve">Diesel Forklift</t>
  </si>
  <si>
    <t xml:space="preserve">1T–10T capacity</t>
  </si>
  <si>
    <t xml:space="preserve">Reach Truck (electric)</t>
  </si>
  <si>
    <t xml:space="preserve">Warehouse rack</t>
  </si>
  <si>
    <t xml:space="preserve">Automated Guided Vehicle (AGV)</t>
  </si>
  <si>
    <t xml:space="preserve">Warehouse</t>
  </si>
  <si>
    <t xml:space="preserve">EOT Crane (electric overhead)</t>
  </si>
  <si>
    <t xml:space="preserve">5T–50T</t>
  </si>
  <si>
    <t xml:space="preserve">Mobile Crane (hydraulic)</t>
  </si>
  <si>
    <t xml:space="preserve">10T–100T</t>
  </si>
  <si>
    <t xml:space="preserve">Pallet Racking System</t>
  </si>
  <si>
    <t xml:space="preserve">Storage racks</t>
  </si>
  <si>
    <t xml:space="preserve">  ▸  BUILDINGS &amp; CIVIL</t>
  </si>
  <si>
    <t xml:space="preserve">Buildings</t>
  </si>
  <si>
    <t xml:space="preserve">Factory Shed — RCC (per sqm)</t>
  </si>
  <si>
    <t xml:space="preserve">sqm</t>
  </si>
  <si>
    <t xml:space="preserve">Factory Shed — Pre-Engineered (per sqm)</t>
  </si>
  <si>
    <t xml:space="preserve">Office Building (per sqm)</t>
  </si>
  <si>
    <t xml:space="preserve">Warehouse (ambient, per sqm)</t>
  </si>
  <si>
    <t xml:space="preserve">Cold Storage (per sqm, incl. insulation)</t>
  </si>
  <si>
    <t xml:space="preserve">Roads &amp; Paving (bituminous)</t>
  </si>
  <si>
    <t xml:space="preserve">Underground Drainage / Pipeline</t>
  </si>
  <si>
    <t xml:space="preserve">per km</t>
  </si>
  <si>
    <t xml:space="preserve">  ▸  ENVIRONMENTAL ASSETS</t>
  </si>
  <si>
    <t xml:space="preserve">Environment</t>
  </si>
  <si>
    <t xml:space="preserve">Effluent Treatment Plant (ETP)</t>
  </si>
  <si>
    <t xml:space="preserve">KLD capacity</t>
  </si>
  <si>
    <t xml:space="preserve">Sewage Treatment Plant (STP)</t>
  </si>
  <si>
    <t xml:space="preserve">Zero Liquid Discharge (ZLD) system</t>
  </si>
  <si>
    <t xml:space="preserve">KLD</t>
  </si>
  <si>
    <t xml:space="preserve">Air Pollution Control (Bag Filter)</t>
  </si>
  <si>
    <t xml:space="preserve">m³/hr</t>
  </si>
  <si>
    <t xml:space="preserve">Scrubber (wet gas cleaning)</t>
  </si>
  <si>
    <t xml:space="preserve">Rainwater Harvesting System</t>
  </si>
  <si>
    <t xml:space="preserve">m³ storage</t>
  </si>
  <si>
    <t xml:space="preserve">  ▸  IT INFRASTRUCTURE</t>
  </si>
  <si>
    <t xml:space="preserve">IT</t>
  </si>
  <si>
    <t xml:space="preserve">Server (rack-mount, 1U)</t>
  </si>
  <si>
    <t xml:space="preserve">per unit</t>
  </si>
  <si>
    <t xml:space="preserve">Network Switch / Router</t>
  </si>
  <si>
    <t xml:space="preserve">CCTV &amp; Access Control System</t>
  </si>
  <si>
    <t xml:space="preserve">per system</t>
  </si>
  <si>
    <t xml:space="preserve">Data Centre / Server Room Setup</t>
  </si>
  <si>
    <t xml:space="preserve">per room</t>
  </si>
  <si>
    <t xml:space="preserve">Laptop / Desktop (procurement)</t>
  </si>
  <si>
    <t xml:space="preserve">  ▸  VEHICLES (OWNED FLEET)</t>
  </si>
  <si>
    <t xml:space="preserve">Vehicles</t>
  </si>
  <si>
    <t xml:space="preserve">Car — Petrol (sedan)</t>
  </si>
  <si>
    <t xml:space="preserve">per vehicle</t>
  </si>
  <si>
    <t xml:space="preserve">Car — Diesel (sedan/SUV)</t>
  </si>
  <si>
    <t xml:space="preserve">Car — Electric (EV)</t>
  </si>
  <si>
    <t xml:space="preserve">LCV — Diesel (1–3T)</t>
  </si>
  <si>
    <t xml:space="preserve">HCV — Diesel (10–40T truck)</t>
  </si>
  <si>
    <t xml:space="preserve">Electric Truck (HCV)</t>
  </si>
  <si>
    <t xml:space="preserve">Two-Wheeler (petrol)</t>
  </si>
  <si>
    <t xml:space="preserve">Two-Wheeler (EV)</t>
  </si>
  <si>
    <t xml:space="preserve">Bus / Staff Shuttle (diesel)</t>
  </si>
  <si>
    <t xml:space="preserve">Forklift (diesel, off-road)</t>
  </si>
  <si>
    <t xml:space="preserve">  ▸  LABORATORY &amp; TESTING</t>
  </si>
  <si>
    <t xml:space="preserve">Lab / Testing</t>
  </si>
  <si>
    <t xml:space="preserve">Analytical Instruments (HPLC/GC/MS)</t>
  </si>
  <si>
    <t xml:space="preserve">Test Bed / Dynamometer</t>
  </si>
  <si>
    <t xml:space="preserve">3D Printer (industrial FDM/SLS)</t>
  </si>
  <si>
    <t xml:space="preserve">Coordinate Measuring Machine (CMM)</t>
  </si>
  <si>
    <t xml:space="preserve">  ▸  AGRICULTURE &amp; OUTDOOR</t>
  </si>
  <si>
    <t xml:space="preserve">Agri / Outdoor</t>
  </si>
  <si>
    <t xml:space="preserve">Tractor (50–100 HP)</t>
  </si>
  <si>
    <t xml:space="preserve">Combine Harvester</t>
  </si>
  <si>
    <t xml:space="preserve">Drip Irrigation System (per acre)</t>
  </si>
  <si>
    <t xml:space="preserve">per acre</t>
  </si>
  <si>
    <t xml:space="preserve">Greenhouse Structure (per sqm)</t>
  </si>
  <si>
    <t xml:space="preserve">LEGEND: Blue=User fills Purchase Value &amp; Qty | Green=Auto-calculated | Annualised tCO2e = Total ÷ Useful Life</t>
  </si>
  <si>
    <t xml:space="preserve">c</t>
  </si>
  <si>
    <t xml:space="preserve">  ⬆  UPSTREAM EMISSION   |   Methodology: T&amp;D losses + well-to-tank upstream emissions for all energy consumed in Scope 1 &amp; 2.</t>
  </si>
  <si>
    <t xml:space="preserve">Supplier / Utility</t>
  </si>
  <si>
    <t xml:space="preserve">State / Region</t>
  </si>
  <si>
    <t xml:space="preserve">Quantity Consumed (kWh or GJ)</t>
  </si>
  <si>
    <t xml:space="preserve">T&amp;D Loss Factor (%)</t>
  </si>
  <si>
    <t xml:space="preserve">Well-to-Tank factor (tCO2e/kWh)/ upstream</t>
  </si>
  <si>
    <t xml:space="preserve">Extraction &amp; processing factor</t>
  </si>
  <si>
    <t xml:space="preserve">Grid EF</t>
  </si>
  <si>
    <t xml:space="preserve">Total EUOU tCO2e</t>
  </si>
  <si>
    <t xml:space="preserve">Reporting Year</t>
  </si>
  <si>
    <t xml:space="preserve">Source / Grid</t>
  </si>
  <si>
    <t xml:space="preserve">Electricity</t>
  </si>
  <si>
    <t xml:space="preserve">Grid Electricity</t>
  </si>
  <si>
    <t xml:space="preserve">DISCOM</t>
  </si>
  <si>
    <t xml:space="preserve">Gujarat</t>
  </si>
  <si>
    <t xml:space="preserve">kWh</t>
  </si>
  <si>
    <t xml:space="preserve">CEA</t>
  </si>
  <si>
    <t xml:space="preserve">State avg</t>
  </si>
  <si>
    <t xml:space="preserve">Solar offsite</t>
  </si>
  <si>
    <t xml:space="preserve">Captive</t>
  </si>
  <si>
    <t xml:space="preserve">IEA</t>
  </si>
  <si>
    <t xml:space="preserve">Wind offsite</t>
  </si>
  <si>
    <t xml:space="preserve">PPA</t>
  </si>
  <si>
    <t xml:space="preserve">TN</t>
  </si>
  <si>
    <t xml:space="preserve">Hydro</t>
  </si>
  <si>
    <t xml:space="preserve">India</t>
  </si>
  <si>
    <t xml:space="preserve">DEFRA</t>
  </si>
  <si>
    <t xml:space="preserve">Treat as fuel</t>
  </si>
  <si>
    <t xml:space="preserve">Solar onsite</t>
  </si>
  <si>
    <t xml:space="preserve">Wind onsite</t>
  </si>
  <si>
    <t xml:space="preserve">liquid</t>
  </si>
  <si>
    <t xml:space="preserve">Diesel</t>
  </si>
  <si>
    <t xml:space="preserve">IOCL</t>
  </si>
  <si>
    <t xml:space="preserve">litre</t>
  </si>
  <si>
    <t xml:space="preserve">Petrol</t>
  </si>
  <si>
    <t xml:space="preserve">HPCL</t>
  </si>
  <si>
    <t xml:space="preserve">Furnace Oil</t>
  </si>
  <si>
    <t xml:space="preserve">BPCL</t>
  </si>
  <si>
    <t xml:space="preserve">MH</t>
  </si>
  <si>
    <t xml:space="preserve">Light Diesel Oil (LDO)</t>
  </si>
  <si>
    <t xml:space="preserve">Supplier</t>
  </si>
  <si>
    <t xml:space="preserve">Naphtha</t>
  </si>
  <si>
    <t xml:space="preserve">Refinery</t>
  </si>
  <si>
    <t xml:space="preserve">tonne</t>
  </si>
  <si>
    <t xml:space="preserve">Petrochemical</t>
  </si>
  <si>
    <t xml:space="preserve">Kerosene</t>
  </si>
  <si>
    <t xml:space="preserve">Dealer</t>
  </si>
  <si>
    <t xml:space="preserve">Gas</t>
  </si>
  <si>
    <t xml:space="preserve">Natural Gas (PNG)</t>
  </si>
  <si>
    <t xml:space="preserve">GAIL</t>
  </si>
  <si>
    <t xml:space="preserve">Nm³</t>
  </si>
  <si>
    <t xml:space="preserve">CNG</t>
  </si>
  <si>
    <t xml:space="preserve">LPG</t>
  </si>
  <si>
    <t xml:space="preserve">Distributor</t>
  </si>
  <si>
    <t xml:space="preserve">Biogas</t>
  </si>
  <si>
    <t xml:space="preserve">Local</t>
  </si>
  <si>
    <t xml:space="preserve">Hydrogen (Grey)</t>
  </si>
  <si>
    <t xml:space="preserve">High upstream</t>
  </si>
  <si>
    <t xml:space="preserve">Hydrogen (Green)</t>
  </si>
  <si>
    <t xml:space="preserve">Electrolysis</t>
  </si>
  <si>
    <t xml:space="preserve">Renewable</t>
  </si>
  <si>
    <t xml:space="preserve">soild</t>
  </si>
  <si>
    <t xml:space="preserve">Coal (Bituminous)</t>
  </si>
  <si>
    <t xml:space="preserve">Coal India</t>
  </si>
  <si>
    <t xml:space="preserve">JH</t>
  </si>
  <si>
    <t xml:space="preserve">Lignite</t>
  </si>
  <si>
    <t xml:space="preserve">Mine</t>
  </si>
  <si>
    <t xml:space="preserve">Coke</t>
  </si>
  <si>
    <t xml:space="preserve">Pet Coke</t>
  </si>
  <si>
    <t xml:space="preserve">Charcoal</t>
  </si>
  <si>
    <t xml:space="preserve">Bio</t>
  </si>
  <si>
    <t xml:space="preserve">Biomass (Agri Residue)</t>
  </si>
  <si>
    <t xml:space="preserve">Wood Chips</t>
  </si>
  <si>
    <t xml:space="preserve">Bagasse</t>
  </si>
  <si>
    <t xml:space="preserve">Sugar Mill</t>
  </si>
  <si>
    <t xml:space="preserve">RDF (Refuse Fuel)</t>
  </si>
  <si>
    <t xml:space="preserve">Waste Vendor</t>
  </si>
  <si>
    <t xml:space="preserve">  ⬆  UPSTREAM EMISSION   |   Methodology: Freight: tonne-km × modal emission factor. Add refrigerant leakage for cold-chain.</t>
  </si>
  <si>
    <t xml:space="preserve">Logistics Provider / Supplier</t>
  </si>
  <si>
    <t xml:space="preserve">GSTIN</t>
  </si>
  <si>
    <t xml:space="preserve">Mode (Road/Rail/Sea/Air)</t>
  </si>
  <si>
    <t xml:space="preserve">Sub-Type / Vehicle</t>
  </si>
  <si>
    <t xml:space="preserve">Origin</t>
  </si>
  <si>
    <t xml:space="preserve">Destination</t>
  </si>
  <si>
    <t xml:space="preserve">Distance (km)</t>
  </si>
  <si>
    <t xml:space="preserve">Weight Transported (tonnes)</t>
  </si>
  <si>
    <t xml:space="preserve">Tonne-km</t>
  </si>
  <si>
    <t xml:space="preserve">Emission Factor (tCO2e/tonne-km)</t>
  </si>
  <si>
    <t xml:space="preserve">Refrigerant leakage (tCO2e)</t>
  </si>
  <si>
    <t xml:space="preserve">Data Source</t>
  </si>
  <si>
    <t xml:space="preserve">Verification</t>
  </si>
  <si>
    <t xml:space="preserve">Mode</t>
  </si>
  <si>
    <t xml:space="preserve">Weight (tonnes)</t>
  </si>
  <si>
    <t xml:space="preserve">Emission Factor (tCO₂e/tonne-km)</t>
  </si>
  <si>
    <t xml:space="preserve">Refrigerant Leakage (tCO₂e)</t>
  </si>
  <si>
    <t xml:space="preserve">Total tCO₂e</t>
  </si>
  <si>
    <t xml:space="preserve">ABC Logistics</t>
  </si>
  <si>
    <t xml:space="preserve">Road</t>
  </si>
  <si>
    <t xml:space="preserve">HCV (20T Truck)</t>
  </si>
  <si>
    <t xml:space="preserve">Ahmedabad</t>
  </si>
  <si>
    <t xml:space="preserve">Mumbai</t>
  </si>
  <si>
    <t xml:space="preserve">Primary</t>
  </si>
  <si>
    <t xml:space="preserve">Pending</t>
  </si>
  <si>
    <t xml:space="preserve">Long haul</t>
  </si>
  <si>
    <t xml:space="preserve">Fast Delivery Pvt Ltd</t>
  </si>
  <si>
    <t xml:space="preserve">LCV (3T Van)</t>
  </si>
  <si>
    <t xml:space="preserve">Surat</t>
  </si>
  <si>
    <t xml:space="preserve">Last mile</t>
  </si>
  <si>
    <t xml:space="preserve">ColdChain Pvt Ltd</t>
  </si>
  <si>
    <t xml:space="preserve">Reefer Truck</t>
  </si>
  <si>
    <t xml:space="preserve">Pune</t>
  </si>
  <si>
    <t xml:space="preserve">Delhi</t>
  </si>
  <si>
    <t xml:space="preserve">Cold chain</t>
  </si>
  <si>
    <t xml:space="preserve">Bulk Movers Ltd</t>
  </si>
  <si>
    <t xml:space="preserve">Trailer (40T)</t>
  </si>
  <si>
    <t xml:space="preserve">Mundra</t>
  </si>
  <si>
    <t xml:space="preserve">Secondary</t>
  </si>
  <si>
    <t xml:space="preserve">Verified</t>
  </si>
  <si>
    <t xml:space="preserve">Bulk cargo</t>
  </si>
  <si>
    <t xml:space="preserve">Rail Cargo Corp</t>
  </si>
  <si>
    <t xml:space="preserve">Rail</t>
  </si>
  <si>
    <t xml:space="preserve">Freight Train</t>
  </si>
  <si>
    <t xml:space="preserve">Bulk</t>
  </si>
  <si>
    <t xml:space="preserve">Ocean Freight Co</t>
  </si>
  <si>
    <t xml:space="preserve">Sea</t>
  </si>
  <si>
    <t xml:space="preserve">Container Ship</t>
  </si>
  <si>
    <t xml:space="preserve">Mundra Port</t>
  </si>
  <si>
    <t xml:space="preserve">Dubai</t>
  </si>
  <si>
    <t xml:space="preserve">Export</t>
  </si>
  <si>
    <t xml:space="preserve">Bulk Shipping Ltd</t>
  </si>
  <si>
    <t xml:space="preserve">Bulk Carrier</t>
  </si>
  <si>
    <t xml:space="preserve">Paradip</t>
  </si>
  <si>
    <t xml:space="preserve">Coal</t>
  </si>
  <si>
    <t xml:space="preserve">Air Cargo Ltd</t>
  </si>
  <si>
    <t xml:space="preserve">Air</t>
  </si>
  <si>
    <t xml:space="preserve">Cargo Aircraft (General)</t>
  </si>
  <si>
    <t xml:space="preserve">London</t>
  </si>
  <si>
    <t xml:space="preserve">Express</t>
  </si>
  <si>
    <t xml:space="preserve">Express Air Ltd</t>
  </si>
  <si>
    <t xml:space="preserve">Cargo Aircraft (Long-haul)</t>
  </si>
  <si>
    <t xml:space="preserve">New York</t>
  </si>
  <si>
    <t xml:space="preserve">Urgent</t>
  </si>
  <si>
    <t xml:space="preserve">Green Logistics</t>
  </si>
  <si>
    <t xml:space="preserve">Electric Truck</t>
  </si>
  <si>
    <t xml:space="preserve">Bangalore</t>
  </si>
  <si>
    <t xml:space="preserve">Chennai</t>
  </si>
  <si>
    <t xml:space="preserve">EV</t>
  </si>
  <si>
    <t xml:space="preserve">LEGEND:  White / Striped = Supplier input   |   Green = Auto-calculated formula   |   All values in tCO2e unless stated</t>
  </si>
  <si>
    <t xml:space="preserve">SCOPE 3 CATEGORY SUPPLIER PORTAL  |  WASTE GENERATED IN OPERATIONS</t>
  </si>
  <si>
    <t xml:space="preserve">  ⬆  UPSTREAM EMISSION   |   Methodology: Waste quantity × treatment-specific emission factor. Landfill needs methane correction factor.</t>
  </si>
  <si>
    <t xml:space="preserve">Waste Group</t>
  </si>
  <si>
    <t xml:space="preserve">Waste Type</t>
  </si>
  <si>
    <t xml:space="preserve">Treatment Method</t>
  </si>
  <si>
    <t xml:space="preserve">EF (tCO2e/tonne)</t>
  </si>
  <si>
    <t xml:space="preserve">CH4 Correction
(if landfill)</t>
  </si>
  <si>
    <t xml:space="preserve">GHG</t>
  </si>
  <si>
    <t xml:space="preserve">Quantity
(tonnes, fill)</t>
  </si>
  <si>
    <t xml:space="preserve">  ▸  LANDFILL DISPOSAL</t>
  </si>
  <si>
    <t xml:space="preserve">Landfill</t>
  </si>
  <si>
    <t xml:space="preserve">Mixed Municipal Solid Waste (MSW)</t>
  </si>
  <si>
    <t xml:space="preserve">Sanitary Landfill</t>
  </si>
  <si>
    <t xml:space="preserve">CO2+CH4+N2O</t>
  </si>
  <si>
    <t xml:space="preserve">DEFRA 2024 / IPCC Waste</t>
  </si>
  <si>
    <t xml:space="preserve">Enter quantity in tonnes</t>
  </si>
  <si>
    <t xml:space="preserve">Industrial Solid Waste (non-hazardous)</t>
  </si>
  <si>
    <t xml:space="preserve">Organic / Food Waste</t>
  </si>
  <si>
    <t xml:space="preserve">Landfill (open)</t>
  </si>
  <si>
    <t xml:space="preserve">CO2+CH4</t>
  </si>
  <si>
    <t xml:space="preserve">Garden / Green Waste</t>
  </si>
  <si>
    <t xml:space="preserve">Paper &amp; Cardboard (to landfill)</t>
  </si>
  <si>
    <t xml:space="preserve">Textiles (to landfill)</t>
  </si>
  <si>
    <t xml:space="preserve">Construction &amp; Demolition Waste</t>
  </si>
  <si>
    <t xml:space="preserve">Inert / Engineered Landfill</t>
  </si>
  <si>
    <t xml:space="preserve">CO2</t>
  </si>
  <si>
    <t xml:space="preserve">  ▸  INCINERATION</t>
  </si>
  <si>
    <t xml:space="preserve">Incineration</t>
  </si>
  <si>
    <t xml:space="preserve">Mixed Plastic Waste</t>
  </si>
  <si>
    <t xml:space="preserve">Incineration (w/o energy recovery)</t>
  </si>
  <si>
    <t xml:space="preserve">Incineration (with energy recovery)</t>
  </si>
  <si>
    <t xml:space="preserve">CO2 (partial credit)</t>
  </si>
  <si>
    <t xml:space="preserve">Hazardous Chemical Waste</t>
  </si>
  <si>
    <t xml:space="preserve">High-temp Incineration (1200°C+)</t>
  </si>
  <si>
    <t xml:space="preserve">CO2+trace</t>
  </si>
  <si>
    <t xml:space="preserve">Industrial Oily Sludge</t>
  </si>
  <si>
    <t xml:space="preserve">Co-processing (cement kiln)</t>
  </si>
  <si>
    <t xml:space="preserve">Biomedical / Clinical Waste</t>
  </si>
  <si>
    <t xml:space="preserve">CBWTF (Central Biomedical Waste)</t>
  </si>
  <si>
    <t xml:space="preserve">Pharma Waste (API residues)</t>
  </si>
  <si>
    <t xml:space="preserve">High-temp Incineration</t>
  </si>
  <si>
    <t xml:space="preserve">Organic Solvent Waste</t>
  </si>
  <si>
    <t xml:space="preserve">Thermal Oxidiser</t>
  </si>
  <si>
    <t xml:space="preserve">Mixed MSW</t>
  </si>
  <si>
    <t xml:space="preserve">WtE (Waste-to-Energy) Plant</t>
  </si>
  <si>
    <t xml:space="preserve">CO2 (credit for energy)</t>
  </si>
  <si>
    <t xml:space="preserve">  ▸  RECYCLING — DIRECT</t>
  </si>
  <si>
    <t xml:space="preserve">Recycling</t>
  </si>
  <si>
    <t xml:space="preserve">Steel / Ferrous Scrap</t>
  </si>
  <si>
    <t xml:space="preserve">Metal Recycling (EAF route)</t>
  </si>
  <si>
    <t xml:space="preserve">CO2 avoided</t>
  </si>
  <si>
    <t xml:space="preserve">Aluminium Scrap</t>
  </si>
  <si>
    <t xml:space="preserve">Aluminium Recycling (secondary)</t>
  </si>
  <si>
    <t xml:space="preserve">Copper Scrap</t>
  </si>
  <si>
    <t xml:space="preserve">Copper Recycling (secondary)</t>
  </si>
  <si>
    <t xml:space="preserve">Paper &amp; Cardboard</t>
  </si>
  <si>
    <t xml:space="preserve">Paper Recycling (de-inking)</t>
  </si>
  <si>
    <t xml:space="preserve">PET Plastic (bottles)</t>
  </si>
  <si>
    <t xml:space="preserve">Mechanical Recycling (rPET)</t>
  </si>
  <si>
    <t xml:space="preserve">HDPE Plastic</t>
  </si>
  <si>
    <t xml:space="preserve">Mechanical Recycling</t>
  </si>
  <si>
    <t xml:space="preserve">Mixed Plastic</t>
  </si>
  <si>
    <t xml:space="preserve">Chemical Recycling (pyrolysis)</t>
  </si>
  <si>
    <t xml:space="preserve">CO2 (partial)</t>
  </si>
  <si>
    <t xml:space="preserve">Textile Waste</t>
  </si>
  <si>
    <t xml:space="preserve">Mechanical Fibre Recycling</t>
  </si>
  <si>
    <t xml:space="preserve">Glass Cullet</t>
  </si>
  <si>
    <t xml:space="preserve">Glass Recycling (remelt)</t>
  </si>
  <si>
    <t xml:space="preserve">Rubber / Tyre Waste</t>
  </si>
  <si>
    <t xml:space="preserve">Pyrolysis / Crumb Rubber</t>
  </si>
  <si>
    <t xml:space="preserve">  ▸  E-WASTE RECYCLING</t>
  </si>
  <si>
    <t xml:space="preserve">E-waste</t>
  </si>
  <si>
    <t xml:space="preserve">Electronic Waste (WEEE) — mixed</t>
  </si>
  <si>
    <t xml:space="preserve">Formal E-waste Recycling (CPCB auth.)</t>
  </si>
  <si>
    <t xml:space="preserve">CO2+trace metals</t>
  </si>
  <si>
    <t xml:space="preserve">Mobile Phones / Smartphones</t>
  </si>
  <si>
    <t xml:space="preserve">Formal E-waste Recycling</t>
  </si>
  <si>
    <t xml:space="preserve">Laptop / PC (disassembly+shred)</t>
  </si>
  <si>
    <t xml:space="preserve">Lead Acid Batteries</t>
  </si>
  <si>
    <t xml:space="preserve">Authorised Lead Smelter</t>
  </si>
  <si>
    <t xml:space="preserve">CO2+Pb</t>
  </si>
  <si>
    <t xml:space="preserve">Li-ion Batteries</t>
  </si>
  <si>
    <t xml:space="preserve">Hydrometallurgical Recycling</t>
  </si>
  <si>
    <t xml:space="preserve">CO2 (materials recovered)</t>
  </si>
  <si>
    <t xml:space="preserve">CRT Monitors</t>
  </si>
  <si>
    <t xml:space="preserve">Authorised Recycler (glass containment)</t>
  </si>
  <si>
    <t xml:space="preserve">  ▸  COMPOSTING &amp; BIOLOGICAL</t>
  </si>
  <si>
    <t xml:space="preserve">Composting</t>
  </si>
  <si>
    <t xml:space="preserve">Food / Kitchen Organic Waste</t>
  </si>
  <si>
    <t xml:space="preserve">Aerobic Composting</t>
  </si>
  <si>
    <t xml:space="preserve">Garden &amp; Green Waste</t>
  </si>
  <si>
    <t xml:space="preserve">Windrow Composting</t>
  </si>
  <si>
    <t xml:space="preserve">Agricultural Residue</t>
  </si>
  <si>
    <t xml:space="preserve">In-situ Composting</t>
  </si>
  <si>
    <t xml:space="preserve">Sewage Sludge (dewatered)</t>
  </si>
  <si>
    <t xml:space="preserve">Food Waste</t>
  </si>
  <si>
    <t xml:space="preserve">Anaerobic Digestion (biogas recovery)</t>
  </si>
  <si>
    <t xml:space="preserve">  ▸  WASTEWATER &amp; SLUDGE</t>
  </si>
  <si>
    <t xml:space="preserve">Wastewater</t>
  </si>
  <si>
    <t xml:space="preserve">Industrial Effluent (CETP)</t>
  </si>
  <si>
    <t xml:space="preserve">Biological + Chemical Treatment</t>
  </si>
  <si>
    <t xml:space="preserve">Sewage / Domestic Wastewater</t>
  </si>
  <si>
    <t xml:space="preserve">STP (activated sludge)</t>
  </si>
  <si>
    <t xml:space="preserve">ETP Sludge (dried cake)</t>
  </si>
  <si>
    <t xml:space="preserve">Secured Landfill</t>
  </si>
  <si>
    <t xml:space="preserve">Co-processing in Cement Kiln</t>
  </si>
  <si>
    <t xml:space="preserve">  ▸  REUSE &amp; SPECIAL</t>
  </si>
  <si>
    <t xml:space="preserve">Reuse</t>
  </si>
  <si>
    <t xml:space="preserve">Fly Ash (from coal boiler)</t>
  </si>
  <si>
    <t xml:space="preserve">Reuse in Cement/Concrete</t>
  </si>
  <si>
    <t xml:space="preserve">Zero emission — beneficial reuse</t>
  </si>
  <si>
    <t xml:space="preserve">Bottom Ash (from boiler)</t>
  </si>
  <si>
    <t xml:space="preserve">Road Construction — Reuse</t>
  </si>
  <si>
    <t xml:space="preserve">Foundry Sand (spent)</t>
  </si>
  <si>
    <t xml:space="preserve">Reuse in Road Base</t>
  </si>
  <si>
    <t xml:space="preserve">Gypsum (by-product FGD)</t>
  </si>
  <si>
    <t xml:space="preserve">Cement Industry Reuse</t>
  </si>
  <si>
    <t xml:space="preserve">Organic Waste</t>
  </si>
  <si>
    <t xml:space="preserve">Refuse-Derived Fuel (RDF) — co-fire</t>
  </si>
  <si>
    <t xml:space="preserve">CO2 (partial biogenic)</t>
  </si>
  <si>
    <t xml:space="preserve">LEGEND: Blue=Enter quantity (tonnes) | Green=Auto tCO2e | Negative EF = Avoided emissions from recycling</t>
  </si>
  <si>
    <t xml:space="preserve">SCOPE 3 CATEGORY SUPPLIER PORTAL  |  BUSINESS TRAVEL EMISSIONS</t>
  </si>
  <si>
    <t xml:space="preserve">  ⬆  UPSTREAM EMISSION   |   Methodology: Flights: pax-km × EF × RF (1.9 default). Hotels: nights × EF. Cars: km × EF.</t>
  </si>
  <si>
    <t xml:space="preserve">Sub-type / Route type</t>
  </si>
  <si>
    <t xml:space="preserve">Class / Category</t>
  </si>
  <si>
    <t xml:space="preserve">EF (tCO2e/pax-km
or per night)</t>
  </si>
  <si>
    <t xml:space="preserve">RF Multiplier
(flights only)</t>
  </si>
  <si>
    <t xml:space="preserve">No. of Trips
or Nights (fill)</t>
  </si>
  <si>
    <t xml:space="preserve">Avg Distance
km (fill)</t>
  </si>
  <si>
    <t xml:space="preserve">Total Pax-km
or Nights</t>
  </si>
  <si>
    <t xml:space="preserve">  ▸  DOMESTIC FLIGHTS — INDIA</t>
  </si>
  <si>
    <t xml:space="preserve">Flight</t>
  </si>
  <si>
    <t xml:space="preserve">Domestic short-haul (≤1hr, e.g. BOM-AMD)</t>
  </si>
  <si>
    <t xml:space="preserve">Economy</t>
  </si>
  <si>
    <t xml:space="preserve">DEFRA 2024 / ICAO</t>
  </si>
  <si>
    <t xml:space="preserve">RF 1.9 applied for flights</t>
  </si>
  <si>
    <t xml:space="preserve">Domestic medium-haul (1–2hr, e.g. DEL-BOM)</t>
  </si>
  <si>
    <t xml:space="preserve">Domestic long-haul (2–3hr, e.g. DEL-BLR)</t>
  </si>
  <si>
    <t xml:space="preserve">Domestic (any route)</t>
  </si>
  <si>
    <t xml:space="preserve">Business / First</t>
  </si>
  <si>
    <t xml:space="preserve">  ▸  INTERNATIONAL FLIGHTS</t>
  </si>
  <si>
    <t xml:space="preserve">International short-haul (≤3hr, e.g. BOM-DXB)</t>
  </si>
  <si>
    <t xml:space="preserve">International short-haul (≤3hr)</t>
  </si>
  <si>
    <t xml:space="preserve">Business Class</t>
  </si>
  <si>
    <t xml:space="preserve">International medium-haul (3–6hr, e.g. DEL-SIN)</t>
  </si>
  <si>
    <t xml:space="preserve">International medium-haul (3–6hr)</t>
  </si>
  <si>
    <t xml:space="preserve">International long-haul (&gt;6hr, e.g. BOM-LHR)</t>
  </si>
  <si>
    <t xml:space="preserve">International long-haul (&gt;6hr)</t>
  </si>
  <si>
    <t xml:space="preserve">First Class</t>
  </si>
  <si>
    <t xml:space="preserve">Premium Economy (any long-haul)</t>
  </si>
  <si>
    <t xml:space="preserve">Premium Economy</t>
  </si>
  <si>
    <t xml:space="preserve">  ▸  RAIL — INDIA</t>
  </si>
  <si>
    <t xml:space="preserve">Train</t>
  </si>
  <si>
    <t xml:space="preserve">Intercity Rail (Indian Railways — diesel)</t>
  </si>
  <si>
    <t xml:space="preserve">Sleeper / General</t>
  </si>
  <si>
    <t xml:space="preserve">Enter no. of trips + avg distance</t>
  </si>
  <si>
    <t xml:space="preserve">AC 3-tier</t>
  </si>
  <si>
    <t xml:space="preserve">AC 2-tier / 1A</t>
  </si>
  <si>
    <t xml:space="preserve">Electrified Rail (e.g. Mumbai local, Metro)</t>
  </si>
  <si>
    <t xml:space="preserve">Any class</t>
  </si>
  <si>
    <t xml:space="preserve">Vande Bharat / Shatabdi (electrified)</t>
  </si>
  <si>
    <t xml:space="preserve">AC Chair Car</t>
  </si>
  <si>
    <t xml:space="preserve">Rajdhani / Duronto (diesel)</t>
  </si>
  <si>
    <t xml:space="preserve">AC 2-tier</t>
  </si>
  <si>
    <t xml:space="preserve">  ▸  RAIL — INTERNATIONAL</t>
  </si>
  <si>
    <t xml:space="preserve">High-Speed Rail (Europe/Japan — electric)</t>
  </si>
  <si>
    <t xml:space="preserve">Standard Rail (Europe — diesel)</t>
  </si>
  <si>
    <t xml:space="preserve">  ▸  ROAD — CAR / TAXI</t>
  </si>
  <si>
    <t xml:space="preserve">Car</t>
  </si>
  <si>
    <t xml:space="preserve">Petrol Car (personal / rental)</t>
  </si>
  <si>
    <t xml:space="preserve">Per vehicle</t>
  </si>
  <si>
    <t xml:space="preserve">Diesel Car (personal / rental)</t>
  </si>
  <si>
    <t xml:space="preserve">CNG Car / Taxi (e.g. Ola/Uber CNG)</t>
  </si>
  <si>
    <t xml:space="preserve">Electric Car (EV)</t>
  </si>
  <si>
    <t xml:space="preserve">Hybrid Car (petrol-electric)</t>
  </si>
  <si>
    <t xml:space="preserve">Ride-hail (diesel)</t>
  </si>
  <si>
    <t xml:space="preserve">Per passenger</t>
  </si>
  <si>
    <t xml:space="preserve">Car Pool (2 occupants, petrol)</t>
  </si>
  <si>
    <t xml:space="preserve">Car Pool (3+ occupants, petrol)</t>
  </si>
  <si>
    <t xml:space="preserve">  ▸  ROAD — BUS</t>
  </si>
  <si>
    <t xml:space="preserve">Bus</t>
  </si>
  <si>
    <t xml:space="preserve">State / Private Bus (diesel)</t>
  </si>
  <si>
    <t xml:space="preserve">CNG City Bus</t>
  </si>
  <si>
    <t xml:space="preserve">Electric City Bus</t>
  </si>
  <si>
    <t xml:space="preserve">Intercity Volvo (diesel AC)</t>
  </si>
  <si>
    <t xml:space="preserve">  ▸  ROAD — TWO-WHEELER</t>
  </si>
  <si>
    <t xml:space="preserve">Two-Wheeler</t>
  </si>
  <si>
    <t xml:space="preserve">Petrol Motorcycle (100–150cc)</t>
  </si>
  <si>
    <t xml:space="preserve">Petrol Motorcycle (150–200cc)</t>
  </si>
  <si>
    <t xml:space="preserve">Electric Scooter / E-bike</t>
  </si>
  <si>
    <t xml:space="preserve">  ▸  ROAD — HEAVY / SPECIAL</t>
  </si>
  <si>
    <t xml:space="preserve">Auto / Rickshaw</t>
  </si>
  <si>
    <t xml:space="preserve">CNG Auto Rickshaw</t>
  </si>
  <si>
    <t xml:space="preserve">Electric Auto Rickshaw</t>
  </si>
  <si>
    <t xml:space="preserve">  ▸  SEA</t>
  </si>
  <si>
    <t xml:space="preserve">Ferry / Ship</t>
  </si>
  <si>
    <t xml:space="preserve">Passenger Ferry (diesel)</t>
  </si>
  <si>
    <t xml:space="preserve">Cruise Ship</t>
  </si>
  <si>
    <t xml:space="preserve">Per passenger per night</t>
  </si>
  <si>
    <t xml:space="preserve">  ▸  HOTELS &amp; ACCOMMODATION</t>
  </si>
  <si>
    <t xml:space="preserve">Hotel</t>
  </si>
  <si>
    <t xml:space="preserve">Budget / Economy Hotel (India)</t>
  </si>
  <si>
    <t xml:space="preserve">Per room-night</t>
  </si>
  <si>
    <t xml:space="preserve">Mid-scale Hotel (India 3-star)</t>
  </si>
  <si>
    <t xml:space="preserve">Upscale Hotel (India 4-5 star)</t>
  </si>
  <si>
    <t xml:space="preserve">Budget International Hotel</t>
  </si>
  <si>
    <t xml:space="preserve">Business Hotel (International, 4-star)</t>
  </si>
  <si>
    <t xml:space="preserve">Luxury Hotel (International, 5-star)</t>
  </si>
  <si>
    <t xml:space="preserve">Serviced Apartment (India)</t>
  </si>
  <si>
    <t xml:space="preserve">LEGEND: Blue=Fill trips/nights + distance | Green=Auto tCO2e | Flights include RF multiplier (×1.9) per DEFRA 2024</t>
  </si>
  <si>
    <t xml:space="preserve">SCOPE 3 CATEGORY SUPPLIER PORTAL  |  EMPLOYEE COMMUTING &amp; WFH ENERGY</t>
  </si>
  <si>
    <t xml:space="preserve">  ⬆  UPSTREAM EMISSION   |   Methodology: Commute: employees × distance × days × 2 (return) × EF. WFH: employees × days × kWh × grid EF.</t>
  </si>
  <si>
    <t xml:space="preserve">Vehicle / Sub-type</t>
  </si>
  <si>
    <t xml:space="preserve">Fuel / Energy</t>
  </si>
  <si>
    <t xml:space="preserve">EF (tCO2e/pax-km)</t>
  </si>
  <si>
    <t xml:space="preserve">No. of
Employees
(fill)</t>
  </si>
  <si>
    <t xml:space="preserve">Avg Distance
km one-way
(fill)</t>
  </si>
  <si>
    <t xml:space="preserve">Commute
Days/yr
(fill)</t>
  </si>
  <si>
    <t xml:space="preserve">WFH
Days/yr
(fill)</t>
  </si>
  <si>
    <t xml:space="preserve">WFH Energy
kWh/day
(fill)</t>
  </si>
  <si>
    <t xml:space="preserve">Commute
tCO2e</t>
  </si>
  <si>
    <t xml:space="preserve">WFH
tCO2e</t>
  </si>
  <si>
    <t xml:space="preserve">Total
tCO2e</t>
  </si>
  <si>
    <t xml:space="preserve">  ▸  CAR (PERSONAL VEHICLE)</t>
  </si>
  <si>
    <t xml:space="preserve">Small Car (Maruti, Tata Tiago)</t>
  </si>
  <si>
    <t xml:space="preserve">2 way; WFH: employees×WFH days×kWh×grid EF</t>
  </si>
  <si>
    <t xml:space="preserve">Mid-size Car (Honda City, Hyundai Verna)</t>
  </si>
  <si>
    <t xml:space="preserve">SUV / Large Car</t>
  </si>
  <si>
    <t xml:space="preserve">Compact Car</t>
  </si>
  <si>
    <t xml:space="preserve">Sedan / Hatchback</t>
  </si>
  <si>
    <t xml:space="preserve">Electric (EV)</t>
  </si>
  <si>
    <t xml:space="preserve">Any size</t>
  </si>
  <si>
    <t xml:space="preserve">Hybrid (petrol-electric)</t>
  </si>
  <si>
    <t xml:space="preserve">  ▸  CAR POOLING</t>
  </si>
  <si>
    <t xml:space="preserve">Car Pool</t>
  </si>
  <si>
    <t xml:space="preserve">Car pool — 2 persons (petrol)</t>
  </si>
  <si>
    <t xml:space="preserve">Car pool — 3 persons (petrol)</t>
  </si>
  <si>
    <t xml:space="preserve">Car pool — 4+ persons (petrol)</t>
  </si>
  <si>
    <t xml:space="preserve">  ▸  TWO-WHEELER</t>
  </si>
  <si>
    <t xml:space="preserve">Motorcycle (100–125cc, Splendor/CT)</t>
  </si>
  <si>
    <t xml:space="preserve">Motorcycle (150–200cc)</t>
  </si>
  <si>
    <t xml:space="preserve">Scooter (Activa / Jupiter)</t>
  </si>
  <si>
    <t xml:space="preserve">Electric Scooter (Ola, TVS iQube)</t>
  </si>
  <si>
    <t xml:space="preserve">Electric</t>
  </si>
  <si>
    <t xml:space="preserve">  ▸  PUBLIC TRANSPORT — BUS</t>
  </si>
  <si>
    <t xml:space="preserve">BEST / BRTS City Bus</t>
  </si>
  <si>
    <t xml:space="preserve">State Transport Bus (diesel)</t>
  </si>
  <si>
    <t xml:space="preserve">CNG City Bus (AMTS / BMTC)</t>
  </si>
  <si>
    <t xml:space="preserve">Electric City Bus (e-bus)</t>
  </si>
  <si>
    <t xml:space="preserve">Intercity / Highway Coach</t>
  </si>
  <si>
    <t xml:space="preserve">  ▸  PUBLIC TRANSPORT — RAIL</t>
  </si>
  <si>
    <t xml:space="preserve">Metro / Rail</t>
  </si>
  <si>
    <t xml:space="preserve">Metro Rail (Delhi/Mumbai/Bangalore/Chennai)</t>
  </si>
  <si>
    <t xml:space="preserve">Mumbai Suburban (EMU local train)</t>
  </si>
  <si>
    <t xml:space="preserve">Commuter Rail (diesel-electric)</t>
  </si>
  <si>
    <t xml:space="preserve">Monorail</t>
  </si>
  <si>
    <t xml:space="preserve">  ▸  AUTO RICKSHAW</t>
  </si>
  <si>
    <t xml:space="preserve">Auto Rickshaw</t>
  </si>
  <si>
    <t xml:space="preserve">CNG Auto Rickshaw (3-wheeler)</t>
  </si>
  <si>
    <t xml:space="preserve">Petrol Auto Rickshaw</t>
  </si>
  <si>
    <t xml:space="preserve">  ▸  COMPANY-PROVIDED TRANSPORT</t>
  </si>
  <si>
    <t xml:space="preserve">Company Bus / Shuttle</t>
  </si>
  <si>
    <t xml:space="preserve">Company Bus (diesel, &gt;25 pax)</t>
  </si>
  <si>
    <t xml:space="preserve">Company Van / Shuttle (diesel, 8–25 pax)</t>
  </si>
  <si>
    <t xml:space="preserve">Company Car Pool (managed)</t>
  </si>
  <si>
    <t xml:space="preserve">  ▸  CYCLING &amp; WALKING</t>
  </si>
  <si>
    <t xml:space="preserve">Cycle / Walk</t>
  </si>
  <si>
    <t xml:space="preserve">Bicycle (human powered)</t>
  </si>
  <si>
    <t xml:space="preserve">Zero emission</t>
  </si>
  <si>
    <t xml:space="preserve">E-Cycle (pedal assist)</t>
  </si>
  <si>
    <t xml:space="preserve">Walking (within campus)</t>
  </si>
  <si>
    <t xml:space="preserve">  ▸  WORK FROM HOME (WFH) — ENERGY USE</t>
  </si>
  <si>
    <t xml:space="preserve">WFH</t>
  </si>
  <si>
    <t xml:space="preserve">Home Office — Standard energy use</t>
  </si>
  <si>
    <t xml:space="preserve">Grid electricity</t>
  </si>
  <si>
    <t xml:space="preserve">0</t>
  </si>
  <si>
    <t xml:space="preserve">Home Office — with solar at home</t>
  </si>
  <si>
    <t xml:space="preserve">Solar + Grid</t>
  </si>
  <si>
    <t xml:space="preserve">Home Office — high-energy region (coal grid)</t>
  </si>
  <si>
    <t xml:space="preserve">Home Office — low-energy region (hydro)</t>
  </si>
  <si>
    <t xml:space="preserve">LEGEND: Blue=Fill employees, distance, days | Commute=employees×dist×days×2×EF | WFH=employees×WFH days×kWh×India grid EF (0.716 kgCO2e/kWh)</t>
  </si>
  <si>
    <t xml:space="preserve">SCOPE 3 CATEGORY SUPPLIER PORTAL  |  UPSTREAM LEASED ASSETS (LEASED IN)</t>
  </si>
  <si>
    <t xml:space="preserve">  ⬆  UPSTREAM EMISSION   |   Methodology: Emissions from assets leased from another party and operated by the reporting company.</t>
  </si>
  <si>
    <t xml:space="preserve">Asset Group</t>
  </si>
  <si>
    <t xml:space="preserve">Sub-type / Specification</t>
  </si>
  <si>
    <t xml:space="preserve">Typical EF — Electricity
(tCO2e/kWh)</t>
  </si>
  <si>
    <t xml:space="preserve">Typical EF — Fuel
(tCO2e/litre or GJ)</t>
  </si>
  <si>
    <t xml:space="preserve">Electricity kWh
(fill)</t>
  </si>
  <si>
    <t xml:space="preserve">Fuel qty
(litres or GJ, fill)</t>
  </si>
  <si>
    <t xml:space="preserve">Scope 2 note</t>
  </si>
  <si>
    <t xml:space="preserve">  ▸  LEASED OFFICE SPACES</t>
  </si>
  <si>
    <t xml:space="preserve">Office Space</t>
  </si>
  <si>
    <t xml:space="preserve">Small office (≤500 sqm, non-AC)</t>
  </si>
  <si>
    <t xml:space="preserve">INR Lakh / kWh</t>
  </si>
  <si>
    <t xml:space="preserve">S2 (location-based) for electricity; S1 for fuel</t>
  </si>
  <si>
    <t xml:space="preserve">CEA 2023-24 / DEFRA 2024</t>
  </si>
  <si>
    <t xml:space="preserve">Enter kWh and/or fuel qty for the year</t>
  </si>
  <si>
    <t xml:space="preserve">Medium office (500–2000 sqm, AC)</t>
  </si>
  <si>
    <t xml:space="preserve">Large office (&gt;2000 sqm, full fit-out, AC)</t>
  </si>
  <si>
    <t xml:space="preserve">Co-working space (shared, per seat)</t>
  </si>
  <si>
    <t xml:space="preserve">Data centre co-location (per rack/kW)</t>
  </si>
  <si>
    <t xml:space="preserve">  ▸  LEASED WAREHOUSES</t>
  </si>
  <si>
    <t xml:space="preserve">Ambient warehouse (per sqm)</t>
  </si>
  <si>
    <t xml:space="preserve">Refrigerated warehouse / cold storage (per sqm)</t>
  </si>
  <si>
    <t xml:space="preserve">Open yard / plot (minimal infrastructure)</t>
  </si>
  <si>
    <t xml:space="preserve">  ▸  LEASED INDUSTRIAL SPACE</t>
  </si>
  <si>
    <t xml:space="preserve">Industrial</t>
  </si>
  <si>
    <t xml:space="preserve">Factory shed — plug-and-play</t>
  </si>
  <si>
    <t xml:space="preserve">kWh + fuel</t>
  </si>
  <si>
    <t xml:space="preserve">Industrial plot (basic utilities)</t>
  </si>
  <si>
    <t xml:space="preserve">Chemical plant / process area (leased-in)</t>
  </si>
  <si>
    <t xml:space="preserve">  ▸  LEASED EQUIPMENT</t>
  </si>
  <si>
    <t xml:space="preserve">Equipment</t>
  </si>
  <si>
    <t xml:space="preserve">Diesel Generator (standby / continuous)</t>
  </si>
  <si>
    <t xml:space="preserve">litres of diesel</t>
  </si>
  <si>
    <t xml:space="preserve">Gas Generator (PNG/CNG fired)</t>
  </si>
  <si>
    <t xml:space="preserve">GJ of gas</t>
  </si>
  <si>
    <t xml:space="preserve">Air Compressor (leased-in)</t>
  </si>
  <si>
    <t xml:space="preserve">CNC / Production Machine (hourly lease)</t>
  </si>
  <si>
    <t xml:space="preserve">Industrial Boiler (leased, steam supply)</t>
  </si>
  <si>
    <t xml:space="preserve">litres of diesel or GJ gas</t>
  </si>
  <si>
    <t xml:space="preserve">Chiller / HVAC System (leased-in)</t>
  </si>
  <si>
    <t xml:space="preserve">  ▸  LEASED VEHICLES</t>
  </si>
  <si>
    <t xml:space="preserve">Vehicle</t>
  </si>
  <si>
    <t xml:space="preserve">Cars (petrol, diesel, CNG) — fleet lease</t>
  </si>
  <si>
    <t xml:space="preserve">litres</t>
  </si>
  <si>
    <t xml:space="preserve">Electric Cars (leased fleet)</t>
  </si>
  <si>
    <t xml:space="preserve">LCV — Light Commercial Vehicle (diesel lease)</t>
  </si>
  <si>
    <t xml:space="preserve">HCV — Heavy Truck (diesel lease)</t>
  </si>
  <si>
    <t xml:space="preserve">Refrigerated Van (diesel + HFC refrigerant)</t>
  </si>
  <si>
    <t xml:space="preserve">Electric Forklift (leased)</t>
  </si>
  <si>
    <t xml:space="preserve">Diesel Forklift (leased)</t>
  </si>
  <si>
    <t xml:space="preserve">  ▸  LEASED AGRICULTURAL ASSETS</t>
  </si>
  <si>
    <t xml:space="preserve">Tractor (diesel, seasonal lease)</t>
  </si>
  <si>
    <t xml:space="preserve">Combine Harvester (contract hire)</t>
  </si>
  <si>
    <t xml:space="preserve">Irrigation Pump (electric, seasonal)</t>
  </si>
  <si>
    <t xml:space="preserve">  ▸  LEASED IT INFRASTRUCTURE</t>
  </si>
  <si>
    <t xml:space="preserve">IT / Infra</t>
  </si>
  <si>
    <t xml:space="preserve">Server Co-location (per rack, per year)</t>
  </si>
  <si>
    <t xml:space="preserve">kWh (PUE-adjusted)</t>
  </si>
  <si>
    <t xml:space="preserve">Network/Telecom Tower (ground lease)</t>
  </si>
  <si>
    <t xml:space="preserve">kWh + diesel DG</t>
  </si>
  <si>
    <t xml:space="preserve">  ▸  CONSTRUCTION (TEMPORARY LEASED)</t>
  </si>
  <si>
    <t xml:space="preserve">Excavator / JCB (wet lease, diesel)</t>
  </si>
  <si>
    <t xml:space="preserve">Mobile Tower Crane (diesel)</t>
  </si>
  <si>
    <t xml:space="preserve">Concrete Pump (diesel)</t>
  </si>
  <si>
    <t xml:space="preserve">Site cabin / office (temporary lease)</t>
  </si>
  <si>
    <t xml:space="preserve">LEGEND: Blue=Fill electricity (kWh) and/or fuel qty | Green=Auto tCO2e | S2 = electricity × CEA grid EF | S1 = fuel × IPCC EF</t>
  </si>
  <si>
    <t xml:space="preserve">SCOPE 3 CATEGORY SUPPLIER PORTAL  |  DOWNSTREAM TRANSPORTATION &amp; DISTRIBUTION</t>
  </si>
  <si>
    <t xml:space="preserve">  ⬇  DOWNSTREAM EMISSION   |   Methodology: Outbound freight from company to customer. Mirror of Cat 4 methodology.</t>
  </si>
  <si>
    <t xml:space="preserve">Sub-type / Vehicle Type</t>
  </si>
  <si>
    <t xml:space="preserve">Fuel / Technology</t>
  </si>
  <si>
    <t xml:space="preserve">EF (tCO2e/tonne-km)</t>
  </si>
  <si>
    <t xml:space="preserve">Refrigerant
Leakage EF</t>
  </si>
  <si>
    <t xml:space="preserve">Weight
(tonnes, fill)</t>
  </si>
  <si>
    <t xml:space="preserve">Distance
(km, fill)</t>
  </si>
  <si>
    <t xml:space="preserve">  ▸  ROAD — OUTBOUND FREIGHT</t>
  </si>
  <si>
    <t xml:space="preserve">Heavy Commercial Vehicle (HCV) &gt;20T</t>
  </si>
  <si>
    <t xml:space="preserve">Diesel (BS6)</t>
  </si>
  <si>
    <t xml:space="preserve">DEFRA 2024 / IMO GHG Study 4</t>
  </si>
  <si>
    <t xml:space="preserve">Enter weight (t) + distance (km)</t>
  </si>
  <si>
    <t xml:space="preserve">HCV Articulated (&gt;25T, long haul)</t>
  </si>
  <si>
    <t xml:space="preserve">Medium Commercial Vehicle (MCV) 7.5–20T</t>
  </si>
  <si>
    <t xml:space="preserve">Light Commercial Vehicle (LCV) 3.5–7.5T</t>
  </si>
  <si>
    <t xml:space="preserve">Mini Truck / Pickup ≤3.5T</t>
  </si>
  <si>
    <t xml:space="preserve">Reefer / Refrigerated Truck</t>
  </si>
  <si>
    <t xml:space="preserve">Diesel + HFC refrigerant</t>
  </si>
  <si>
    <t xml:space="preserve">Flatbed Trailer (40T+, ODC cargo)</t>
  </si>
  <si>
    <t xml:space="preserve">Electric Truck (HCV EV)</t>
  </si>
  <si>
    <t xml:space="preserve">CNG Truck</t>
  </si>
  <si>
    <t xml:space="preserve">Two-Wheeler / Small Parcel Delivery</t>
  </si>
  <si>
    <t xml:space="preserve">Electric Two-Wheeler (last mile)</t>
  </si>
  <si>
    <t xml:space="preserve">  ▸  RAIL — FREIGHT</t>
  </si>
  <si>
    <t xml:space="preserve">Indian Railways Freight (diesel loco)</t>
  </si>
  <si>
    <t xml:space="preserve">Indian Railways Freight (electric loco)</t>
  </si>
  <si>
    <t xml:space="preserve">CONCOR Container Train (electric)</t>
  </si>
  <si>
    <t xml:space="preserve">Private Freight Train (diesel)</t>
  </si>
  <si>
    <t xml:space="preserve">High-speed Rail Freight (international)</t>
  </si>
  <si>
    <t xml:space="preserve">  ▸  SEA — OCEAN / COASTAL SHIPPING</t>
  </si>
  <si>
    <t xml:space="preserve">Container Ship (TEU, deep sea)</t>
  </si>
  <si>
    <t xml:space="preserve">HFO / MDO</t>
  </si>
  <si>
    <t xml:space="preserve">Bulk Carrier (dry bulk, Panamax)</t>
  </si>
  <si>
    <t xml:space="preserve">HFO</t>
  </si>
  <si>
    <t xml:space="preserve">Bulk Carrier (Capesize, 150,000+ DWT)</t>
  </si>
  <si>
    <t xml:space="preserve">Tanker (crude / product, VLCC)</t>
  </si>
  <si>
    <t xml:space="preserve">Ro-Ro (Roll-on/Roll-off, vehicle carrier)</t>
  </si>
  <si>
    <t xml:space="preserve">LNG-powered Container Ship</t>
  </si>
  <si>
    <t xml:space="preserve">LNG</t>
  </si>
  <si>
    <t xml:space="preserve">Coastal / Short Sea Shipping</t>
  </si>
  <si>
    <t xml:space="preserve">HFO/MDO</t>
  </si>
  <si>
    <t xml:space="preserve">Inland Waterway (barge)</t>
  </si>
  <si>
    <t xml:space="preserve">  ▸  AIR — CARGO</t>
  </si>
  <si>
    <t xml:space="preserve">Belly Cargo (pax aircraft, short-haul &lt;3h)</t>
  </si>
  <si>
    <t xml:space="preserve">Jet A-1</t>
  </si>
  <si>
    <t xml:space="preserve">Belly Cargo (pax aircraft, long-haul &gt;6h)</t>
  </si>
  <si>
    <t xml:space="preserve">Dedicated Freighter (short-haul)</t>
  </si>
  <si>
    <t xml:space="preserve">Dedicated Freighter (long-haul 747F)</t>
  </si>
  <si>
    <t xml:space="preserve">Express Air Freight (integrator)</t>
  </si>
  <si>
    <t xml:space="preserve">  ▸  INTERMODAL (MULTI-MODE)</t>
  </si>
  <si>
    <t xml:space="preserve">Intermodal</t>
  </si>
  <si>
    <t xml:space="preserve">Road + Rail (combined, door-to-door)</t>
  </si>
  <si>
    <t xml:space="preserve">Mixed</t>
  </si>
  <si>
    <t xml:space="preserve">Road + Sea (port-to-port + last mile)</t>
  </si>
  <si>
    <t xml:space="preserve">Rail + Sea (land bridge + ocean)</t>
  </si>
  <si>
    <t xml:space="preserve">  ▸  DOMESTIC AIR (INDIA SPECIFIC)</t>
  </si>
  <si>
    <t xml:space="preserve">Air (Domestic)</t>
  </si>
  <si>
    <t xml:space="preserve">SpiceJet / IndiGo domestic cargo</t>
  </si>
  <si>
    <t xml:space="preserve">Air India / Vistara domestic cargo</t>
  </si>
  <si>
    <t xml:space="preserve">LEGEND: Blue=Fill weight (tonnes) &amp; distance (km) | tonne-km auto-calculated | tCO2e = tonne-km × mode EF</t>
  </si>
  <si>
    <t xml:space="preserve">SCOPE 3 CATEGORY SUPPLIER PORTAL  |  PROCESSING OF SOLD INTERMEDIATE PRODUCTS</t>
  </si>
  <si>
    <t xml:space="preserve">  ⬇  DOWNSTREAM EMISSION   |   Methodology: Applicable only for intermediate products further processed by customers.</t>
  </si>
  <si>
    <t xml:space="preserve">Industry Sector</t>
  </si>
  <si>
    <t xml:space="preserve">Intermediate Product Sold</t>
  </si>
  <si>
    <t xml:space="preserve">Processing Stage / Operation</t>
  </si>
  <si>
    <t xml:space="preserve">Typical Output EF
(tCO2e/tonne input)</t>
  </si>
  <si>
    <t xml:space="preserve">Typical Yield %</t>
  </si>
  <si>
    <t xml:space="preserve">Quantity sold
(tonnes, fill)</t>
  </si>
  <si>
    <t xml:space="preserve">  ▸  METALS &amp; ENGINEERING PROCESSING</t>
  </si>
  <si>
    <t xml:space="preserve">Steel Billets / Slabs</t>
  </si>
  <si>
    <t xml:space="preserve">Hot Rolling (coil / sheet making)</t>
  </si>
  <si>
    <t xml:space="preserve">IPCC / DEFRA / Ecoinvent 3.9</t>
  </si>
  <si>
    <t xml:space="preserve">Applies only if you sell intermediate goods for further processing</t>
  </si>
  <si>
    <t xml:space="preserve">Steel Billets</t>
  </si>
  <si>
    <t xml:space="preserve">Cold Rolling (CR sheet)</t>
  </si>
  <si>
    <t xml:space="preserve">Steel Bars / Wire Rods</t>
  </si>
  <si>
    <t xml:space="preserve">Wire Drawing &amp; Cold Heading</t>
  </si>
  <si>
    <t xml:space="preserve">Steel Ingots / Billets</t>
  </si>
  <si>
    <t xml:space="preserve">Forging (closed-die / open-die)</t>
  </si>
  <si>
    <t xml:space="preserve">Steel Tubes / Pipes (raw)</t>
  </si>
  <si>
    <t xml:space="preserve">Pipe Forming &amp; Welding</t>
  </si>
  <si>
    <t xml:space="preserve">Aluminium Ingots</t>
  </si>
  <si>
    <t xml:space="preserve">Extrusion (profiles, channels)</t>
  </si>
  <si>
    <t xml:space="preserve">Die Casting &amp; Machining</t>
  </si>
  <si>
    <t xml:space="preserve">Copper Rods</t>
  </si>
  <si>
    <t xml:space="preserve">Wire Drawing (fine wire)</t>
  </si>
  <si>
    <t xml:space="preserve">Cable Extrusion (insulated cable)</t>
  </si>
  <si>
    <t xml:space="preserve">Zinc (SHG)</t>
  </si>
  <si>
    <t xml:space="preserve">Galvanising (hot-dip steel coating)</t>
  </si>
  <si>
    <t xml:space="preserve">  ▸  CHEMICALS &amp; POLYMERS PROCESSING</t>
  </si>
  <si>
    <t xml:space="preserve">API Intermediates</t>
  </si>
  <si>
    <t xml:space="preserve">Synthesis, Purification, Granulation</t>
  </si>
  <si>
    <t xml:space="preserve">Tablet / Capsule Formulation</t>
  </si>
  <si>
    <t xml:space="preserve">Basic Petrochemicals</t>
  </si>
  <si>
    <t xml:space="preserve">Polymer Production (polymerisation)</t>
  </si>
  <si>
    <t xml:space="preserve">Polymer Granules (PP/PE/PET)</t>
  </si>
  <si>
    <t xml:space="preserve">Injection Moulding</t>
  </si>
  <si>
    <t xml:space="preserve">Polymer Granules</t>
  </si>
  <si>
    <t xml:space="preserve">Blow Moulding (bottles)</t>
  </si>
  <si>
    <t xml:space="preserve">Extrusion (pipes, profiles, film)</t>
  </si>
  <si>
    <t xml:space="preserve">Thermoforming (trays, lids)</t>
  </si>
  <si>
    <t xml:space="preserve">Specialty Resin / Adhesive</t>
  </si>
  <si>
    <t xml:space="preserve">Composite Manufacturing (FRP/GRP)</t>
  </si>
  <si>
    <t xml:space="preserve">  ▸  PAPER &amp; PACKAGING PROCESSING</t>
  </si>
  <si>
    <t xml:space="preserve">Paper</t>
  </si>
  <si>
    <t xml:space="preserve">Paper Pulp (kraft / recycled)</t>
  </si>
  <si>
    <t xml:space="preserve">Paper Making &amp; Coating</t>
  </si>
  <si>
    <t xml:space="preserve">Paper Pulp</t>
  </si>
  <si>
    <t xml:space="preserve">Tissue / Hygiene Paper Making</t>
  </si>
  <si>
    <t xml:space="preserve">Linerboard / Testliner</t>
  </si>
  <si>
    <t xml:space="preserve">Corrugation &amp; Box Making</t>
  </si>
  <si>
    <t xml:space="preserve">Coated paper / board</t>
  </si>
  <si>
    <t xml:space="preserve">Carton Printing &amp; Cutting</t>
  </si>
  <si>
    <t xml:space="preserve">Offset Paper</t>
  </si>
  <si>
    <t xml:space="preserve">Printing &amp; Publishing</t>
  </si>
  <si>
    <t xml:space="preserve">  ▸  TEXTILES PROCESSING</t>
  </si>
  <si>
    <t xml:space="preserve">Grey Cotton Fabric</t>
  </si>
  <si>
    <t xml:space="preserve">Scouring &amp; Bleaching</t>
  </si>
  <si>
    <t xml:space="preserve">Reactive Dyeing &amp; Printing</t>
  </si>
  <si>
    <t xml:space="preserve">Greige Fabric (any fibre)</t>
  </si>
  <si>
    <t xml:space="preserve">Finishing (softening, calendaring)</t>
  </si>
  <si>
    <t xml:space="preserve">Yarn</t>
  </si>
  <si>
    <t xml:space="preserve">Weaving (shuttle / shuttle-less loom)</t>
  </si>
  <si>
    <t xml:space="preserve">Knitting (circular / flat bed)</t>
  </si>
  <si>
    <t xml:space="preserve">Dyed Fabric</t>
  </si>
  <si>
    <t xml:space="preserve">Cutting, Sewing, Finishing (CMT)</t>
  </si>
  <si>
    <t xml:space="preserve">  ▸  FOOD PROCESSING</t>
  </si>
  <si>
    <t xml:space="preserve">Food</t>
  </si>
  <si>
    <t xml:space="preserve">Flour Milling (roller milling)</t>
  </si>
  <si>
    <t xml:space="preserve">Rice (paddy)</t>
  </si>
  <si>
    <t xml:space="preserve">Rice Milling &amp; Polishing</t>
  </si>
  <si>
    <t xml:space="preserve">Sugarcane</t>
  </si>
  <si>
    <t xml:space="preserve">Sugar Refinery (crushing, crystallisation)</t>
  </si>
  <si>
    <t xml:space="preserve">Oilseeds (soy, sunflower)</t>
  </si>
  <si>
    <t xml:space="preserve">Solvent Extraction (edible oil)</t>
  </si>
  <si>
    <t xml:space="preserve">Fresh Milk (liquid)</t>
  </si>
  <si>
    <t xml:space="preserve">Pasteurisation, Packaging</t>
  </si>
  <si>
    <t xml:space="preserve">Milk</t>
  </si>
  <si>
    <t xml:space="preserve">Spray Drying (milk powder)</t>
  </si>
  <si>
    <t xml:space="preserve">Fresh Fish / Shrimp</t>
  </si>
  <si>
    <t xml:space="preserve">Processing, Freezing &amp; Packing</t>
  </si>
  <si>
    <t xml:space="preserve">Cocoa Beans</t>
  </si>
  <si>
    <t xml:space="preserve">Grinding, Conching (chocolate)</t>
  </si>
  <si>
    <t xml:space="preserve">  ▸  CONSTRUCTION MATERIALS PROCESSING</t>
  </si>
  <si>
    <t xml:space="preserve">Cement Clinker</t>
  </si>
  <si>
    <t xml:space="preserve">Cement Grinding &amp; Packing</t>
  </si>
  <si>
    <t xml:space="preserve">Steel Scrap / Billets</t>
  </si>
  <si>
    <t xml:space="preserve">Rebar / TMT Rolling</t>
  </si>
  <si>
    <t xml:space="preserve">Limestone</t>
  </si>
  <si>
    <t xml:space="preserve">Lime Calcination (quicklime)</t>
  </si>
  <si>
    <t xml:space="preserve">Silica Sand + Aluminium</t>
  </si>
  <si>
    <t xml:space="preserve">AAC Block Autoclaving</t>
  </si>
  <si>
    <t xml:space="preserve">Timber (logs)</t>
  </si>
  <si>
    <t xml:space="preserve">Sawmilling &amp; Drying</t>
  </si>
  <si>
    <t xml:space="preserve">Timber (planks)</t>
  </si>
  <si>
    <t xml:space="preserve">Plywood / MDF Manufacturing</t>
  </si>
  <si>
    <t xml:space="preserve">LEGEND: Blue=Fill quantity sold (tonnes) | EF = emissions from customer's processing of your intermediate product</t>
  </si>
  <si>
    <t xml:space="preserve">SCOPE 3 CATEGORY SUPPLIER PORTAL  |  EMISSIONS DURING USE OF SOLD PRODUCTS</t>
  </si>
  <si>
    <t xml:space="preserve">  ⬇  DOWNSTREAM EMISSION   |   Methodology: Key for electronics, appliances, vehicles. Units sold × energy/fuel per year × EF × lifetime.</t>
  </si>
  <si>
    <t xml:space="preserve">Product Group</t>
  </si>
  <si>
    <t xml:space="preserve">Product Type</t>
  </si>
  <si>
    <t xml:space="preserve">Energy / Fuel
Consumed in Use</t>
  </si>
  <si>
    <t xml:space="preserve">Rated Power /
Consumption (unit)</t>
  </si>
  <si>
    <t xml:space="preserve">Typical Annual
Usage (hrs or km)</t>
  </si>
  <si>
    <t xml:space="preserve">Annual Energy or Fuel
(kWh or litre / unit/yr)</t>
  </si>
  <si>
    <t xml:space="preserve">EF
(tCO2e/kWh or /litre)</t>
  </si>
  <si>
    <t xml:space="preserve">Avg Lifetime
(years)</t>
  </si>
  <si>
    <t xml:space="preserve">Units Sold
(fill)</t>
  </si>
  <si>
    <t xml:space="preserve">Annual tCO2e
/ unit</t>
  </si>
  <si>
    <t xml:space="preserve">Total Lifetime
tCO2e</t>
  </si>
  <si>
    <t xml:space="preserve">  ▸  HVAC &amp; COOLING PRODUCTS</t>
  </si>
  <si>
    <t xml:space="preserve">HVAC</t>
  </si>
  <si>
    <t xml:space="preserve">Room AC — 1 Ton (5-star BEE)</t>
  </si>
  <si>
    <t xml:space="preserve">~1500 hrs/yr</t>
  </si>
  <si>
    <t xml:space="preserve">Fill units sold; EF × annual energy × lifetime</t>
  </si>
  <si>
    <t xml:space="preserve">Room AC — 1.5 Ton (5-star BEE)</t>
  </si>
  <si>
    <t xml:space="preserve">Room AC — 1.5 Ton (3-star BEE)</t>
  </si>
  <si>
    <t xml:space="preserve">Room AC — 2 Ton (3-star)</t>
  </si>
  <si>
    <t xml:space="preserve">Central Air Handling Unit (AHU, 50 TR)</t>
  </si>
  <si>
    <t xml:space="preserve">~3000 hrs/yr</t>
  </si>
  <si>
    <t xml:space="preserve">Commercial Chiller (100 TR)</t>
  </si>
  <si>
    <t xml:space="preserve">~3500 hrs/yr</t>
  </si>
  <si>
    <t xml:space="preserve">Refrigerator — 200L (3-star BEE)</t>
  </si>
  <si>
    <t xml:space="preserve">8760 hrs/yr (24x7)</t>
  </si>
  <si>
    <t xml:space="preserve">Refrigerator — 350L (5-star BEE)</t>
  </si>
  <si>
    <t xml:space="preserve">8760 hrs/yr</t>
  </si>
  <si>
    <t xml:space="preserve">Cold Room / Walk-in Cooler (10 m³)</t>
  </si>
  <si>
    <t xml:space="preserve">  ▸  HEATING &amp; HOT WATER</t>
  </si>
  <si>
    <t xml:space="preserve">Heating</t>
  </si>
  <si>
    <t xml:space="preserve">Electric Water Heater 2 kW (geyser)</t>
  </si>
  <si>
    <t xml:space="preserve">~365 hrs/yr</t>
  </si>
  <si>
    <t xml:space="preserve">Electric Water Heater 4.5 kW (instant)</t>
  </si>
  <si>
    <t xml:space="preserve">~100 hrs/yr</t>
  </si>
  <si>
    <t xml:space="preserve">Solar Water Heater (200 LPD backup only)</t>
  </si>
  <si>
    <t xml:space="preserve">~100 hrs/yr (backup)</t>
  </si>
  <si>
    <t xml:space="preserve">Industrial Boiler — Diesel (1T/hr steam)</t>
  </si>
  <si>
    <t xml:space="preserve">Diesel (litres)</t>
  </si>
  <si>
    <t xml:space="preserve">~2000 hrs/yr</t>
  </si>
  <si>
    <t xml:space="preserve">Industrial Boiler — PNG (1T/hr steam)</t>
  </si>
  <si>
    <t xml:space="preserve">Natural Gas (SCM)</t>
  </si>
  <si>
    <t xml:space="preserve">Diesel Water Heater (commercial)</t>
  </si>
  <si>
    <t xml:space="preserve">~500 hrs/yr</t>
  </si>
  <si>
    <t xml:space="preserve">  ▸  MOTORS, PUMPS &amp; COMPRESSORS</t>
  </si>
  <si>
    <t xml:space="preserve">Motors &amp; Pumps</t>
  </si>
  <si>
    <t xml:space="preserve">Industrial Motor — 5 kW (IE2)</t>
  </si>
  <si>
    <t xml:space="preserve">Industrial Motor — 15 kW (IE3)</t>
  </si>
  <si>
    <t xml:space="preserve">Industrial Motor — 45 kW (IE3)</t>
  </si>
  <si>
    <t xml:space="preserve">~6000 hrs/yr</t>
  </si>
  <si>
    <t xml:space="preserve">Centrifugal Pump — 7.5 kW</t>
  </si>
  <si>
    <t xml:space="preserve">~4000 hrs/yr</t>
  </si>
  <si>
    <t xml:space="preserve">Submersible Pump — 2 HP (agri)</t>
  </si>
  <si>
    <t xml:space="preserve">~1460 hrs/yr</t>
  </si>
  <si>
    <t xml:space="preserve">Air Compressor — 50 HP (screw)</t>
  </si>
  <si>
    <t xml:space="preserve">  ▸  LIGHTING</t>
  </si>
  <si>
    <t xml:space="preserve">Lighting</t>
  </si>
  <si>
    <t xml:space="preserve">LED Bulb — 9W (replaces 60W)</t>
  </si>
  <si>
    <t xml:space="preserve">~1000 hrs/yr</t>
  </si>
  <si>
    <t xml:space="preserve">LED Batten — 20W (T8 replacement)</t>
  </si>
  <si>
    <t xml:space="preserve">~2500 hrs/yr</t>
  </si>
  <si>
    <t xml:space="preserve">LED Street Light — 80W</t>
  </si>
  <si>
    <t xml:space="preserve">~4380 hrs/yr (12hr/day)</t>
  </si>
  <si>
    <t xml:space="preserve">LED High Bay — 150W (industrial)</t>
  </si>
  <si>
    <t xml:space="preserve">Commercial LED Panel — 36W</t>
  </si>
  <si>
    <t xml:space="preserve">  ▸  VEHICLES</t>
  </si>
  <si>
    <t xml:space="preserve">Two-Wheeler Petrol — 100cc</t>
  </si>
  <si>
    <t xml:space="preserve">Petrol (litres)</t>
  </si>
  <si>
    <t xml:space="preserve">~12,000 km/yr; 50 km/L</t>
  </si>
  <si>
    <t xml:space="preserve">Two-Wheeler Petrol — 150cc</t>
  </si>
  <si>
    <t xml:space="preserve">~12,000 km/yr; 40 km/L</t>
  </si>
  <si>
    <t xml:space="preserve">Electric Two-Wheeler (EV)</t>
  </si>
  <si>
    <t xml:space="preserve">~12,000 km/yr; 40 Wh/km</t>
  </si>
  <si>
    <t xml:space="preserve">Passenger Car — Petrol 1.2L</t>
  </si>
  <si>
    <t xml:space="preserve">~15,000 km/yr; 15 km/L</t>
  </si>
  <si>
    <t xml:space="preserve">Passenger Car — Diesel 1.5L</t>
  </si>
  <si>
    <t xml:space="preserve">~15,000 km/yr; 18 km/L</t>
  </si>
  <si>
    <t xml:space="preserve">Passenger Car — Electric (EV)</t>
  </si>
  <si>
    <t xml:space="preserve">~15,000 km/yr; 150 Wh/km</t>
  </si>
  <si>
    <t xml:space="preserve">LCV Diesel (1–3.5T van)</t>
  </si>
  <si>
    <t xml:space="preserve">~40,000 km/yr; 12 km/L</t>
  </si>
  <si>
    <t xml:space="preserve">HCV Diesel Truck (20T)</t>
  </si>
  <si>
    <t xml:space="preserve">~80,000 km/yr; 5 km/L</t>
  </si>
  <si>
    <t xml:space="preserve">  ▸  IT &amp; CONSUMER ELECTRONICS</t>
  </si>
  <si>
    <t xml:space="preserve">IT / Electronics</t>
  </si>
  <si>
    <t xml:space="preserve">Laptop — 15W average draw</t>
  </si>
  <si>
    <t xml:space="preserve">~1825 hrs/yr</t>
  </si>
  <si>
    <t xml:space="preserve">Desktop PC — 100W average</t>
  </si>
  <si>
    <t xml:space="preserve">Server (1U rack) — 300W avg</t>
  </si>
  <si>
    <t xml:space="preserve">~8760 hrs/yr (24x7)</t>
  </si>
  <si>
    <t xml:space="preserve">Smartphone — 5W charger</t>
  </si>
  <si>
    <t xml:space="preserve">LCD/LED Monitor — 22 inch</t>
  </si>
  <si>
    <t xml:space="preserve">Laser Printer (office)</t>
  </si>
  <si>
    <t xml:space="preserve">~500 hrs/yr (intermittent)</t>
  </si>
  <si>
    <t xml:space="preserve">  ▸  POWER &amp; INDUSTRIAL EQUIPMENT</t>
  </si>
  <si>
    <t xml:space="preserve">Power Equipment</t>
  </si>
  <si>
    <t xml:space="preserve">Diesel Generator — 15 kVA</t>
  </si>
  <si>
    <t xml:space="preserve">~500 hrs/yr backup</t>
  </si>
  <si>
    <t xml:space="preserve">Diesel Generator — 62.5 kVA</t>
  </si>
  <si>
    <t xml:space="preserve">UPS System — 5 kVA (VRLA battery)</t>
  </si>
  <si>
    <t xml:space="preserve">~2000 hrs/yr (load)</t>
  </si>
  <si>
    <t xml:space="preserve">Distribution Transformer — 100 kVA</t>
  </si>
  <si>
    <t xml:space="preserve">~8760 hrs (no-load loss)</t>
  </si>
  <si>
    <t xml:space="preserve">Variable Frequency Drive (VFD) 30 kW</t>
  </si>
  <si>
    <t xml:space="preserve">  ▸  CONSTRUCTION EQUIPMENT (SOLD)</t>
  </si>
  <si>
    <t xml:space="preserve">Construction Equip.</t>
  </si>
  <si>
    <t xml:space="preserve">Mini Excavator — diesel (3T)</t>
  </si>
  <si>
    <t xml:space="preserve">Concrete Mixer (diesel, 1 bag)</t>
  </si>
  <si>
    <t xml:space="preserve">Water Pump (diesel, 2"–4")</t>
  </si>
  <si>
    <t xml:space="preserve">LEGEND: Blue=Fill units sold | Annual energy pre-filled from rated specs | Total = units × annual energy × EF × lifetime</t>
  </si>
  <si>
    <t xml:space="preserve">SCOPE 3 CATEGORY SUPPLIER PORTAL  |  END-OF-LIFE TREATMENT OF SOLD PRODUCTS</t>
  </si>
  <si>
    <t xml:space="preserve">  ⬇  DOWNSTREAM EMISSION   |   Methodology: Assumes products sold in reporting year are disposed at end of life. Mass × EF by treatment.</t>
  </si>
  <si>
    <t xml:space="preserve">EOL Treatment Method</t>
  </si>
  <si>
    <t xml:space="preserve">EF (tCO2e/tonne
disposed)</t>
  </si>
  <si>
    <t xml:space="preserve">Typical Mass
per Unit (kg)</t>
  </si>
  <si>
    <t xml:space="preserve">Total Waste
(tonnes)</t>
  </si>
  <si>
    <t xml:space="preserve">  ▸  HOME &amp; CONSUMER APPLIANCES</t>
  </si>
  <si>
    <t xml:space="preserve">Appliances</t>
  </si>
  <si>
    <t xml:space="preserve">Room AC — 1.5T unit</t>
  </si>
  <si>
    <t xml:space="preserve">E-waste Recycling (CPCB authorised)</t>
  </si>
  <si>
    <t xml:space="preserve">Negative EF = avoided emissions from recycling</t>
  </si>
  <si>
    <t xml:space="preserve">Refrigerator — 250 litre</t>
  </si>
  <si>
    <t xml:space="preserve">E-waste Recycling</t>
  </si>
  <si>
    <t xml:space="preserve">Washing Machine (front load)</t>
  </si>
  <si>
    <t xml:space="preserve">Microwave Oven</t>
  </si>
  <si>
    <t xml:space="preserve">Electric Water Heater (geyser)</t>
  </si>
  <si>
    <t xml:space="preserve">Mixed EOL (metal recycle + landfill)</t>
  </si>
  <si>
    <t xml:space="preserve">Ceiling Fan</t>
  </si>
  <si>
    <t xml:space="preserve">E-waste / Metal Recycling</t>
  </si>
  <si>
    <t xml:space="preserve">Mixer Grinder / Kitchen Appliance</t>
  </si>
  <si>
    <t xml:space="preserve">  ▸  IT &amp; ELECTRONICS</t>
  </si>
  <si>
    <t xml:space="preserve">Laptop</t>
  </si>
  <si>
    <t xml:space="preserve">Formal E-waste Recycling (EPR)</t>
  </si>
  <si>
    <t xml:space="preserve">Desktop PC (tower + monitor)</t>
  </si>
  <si>
    <t xml:space="preserve">Smartphone / Tablet</t>
  </si>
  <si>
    <t xml:space="preserve">Server (1U rack unit)</t>
  </si>
  <si>
    <t xml:space="preserve">CRT Monitor (legacy)</t>
  </si>
  <si>
    <t xml:space="preserve">Authorised Recycler (Pb containment)</t>
  </si>
  <si>
    <t xml:space="preserve">LCD / LED Monitor</t>
  </si>
  <si>
    <t xml:space="preserve">Printer (laser/inkjet)</t>
  </si>
  <si>
    <t xml:space="preserve">  ▸  BATTERIES</t>
  </si>
  <si>
    <t xml:space="preserve">Lead Acid Battery (UPS/automotive)</t>
  </si>
  <si>
    <t xml:space="preserve">Li-ion Battery (EV, 60 kWh pack)</t>
  </si>
  <si>
    <t xml:space="preserve">Hydromet Recycling</t>
  </si>
  <si>
    <t xml:space="preserve">Li-ion Battery (laptop/phone cells)</t>
  </si>
  <si>
    <t xml:space="preserve">Formal Recycling</t>
  </si>
  <si>
    <t xml:space="preserve">NiMH Battery (hybrid)</t>
  </si>
  <si>
    <t xml:space="preserve">Passenger Car (petrol/diesel)</t>
  </si>
  <si>
    <t xml:space="preserve">Scrapping (metal + fluids)</t>
  </si>
  <si>
    <t xml:space="preserve">Metal Recycling + Scrap</t>
  </si>
  <si>
    <t xml:space="preserve">Electric Car</t>
  </si>
  <si>
    <t xml:space="preserve">Metal Recycle + Battery Hydromet</t>
  </si>
  <si>
    <t xml:space="preserve">Electric Two-Wheeler</t>
  </si>
  <si>
    <t xml:space="preserve">Metal Recycle + Battery</t>
  </si>
  <si>
    <t xml:space="preserve">LCV (diesel van)</t>
  </si>
  <si>
    <t xml:space="preserve">Scrapping</t>
  </si>
  <si>
    <t xml:space="preserve">HCV (diesel truck)</t>
  </si>
  <si>
    <t xml:space="preserve">  ▸  INDUSTRIAL EQUIPMENT</t>
  </si>
  <si>
    <t xml:space="preserve">Industrial Pump (5 kW)</t>
  </si>
  <si>
    <t xml:space="preserve">Metal Recycling</t>
  </si>
  <si>
    <t xml:space="preserve">Electric Motor (15 kW)</t>
  </si>
  <si>
    <t xml:space="preserve">Metal Recycling (Cu + steel)</t>
  </si>
  <si>
    <t xml:space="preserve">Industrial Boiler (1T/hr)</t>
  </si>
  <si>
    <t xml:space="preserve">Heavy Metal Scrap</t>
  </si>
  <si>
    <t xml:space="preserve">Transformer (100 kVA)</t>
  </si>
  <si>
    <t xml:space="preserve">Metal + Oil Recycling</t>
  </si>
  <si>
    <t xml:space="preserve">Diesel Generator (62.5 kVA)</t>
  </si>
  <si>
    <t xml:space="preserve">Metal Scrap + Fluids</t>
  </si>
  <si>
    <t xml:space="preserve">Air Compressor (50 HP screw)</t>
  </si>
  <si>
    <t xml:space="preserve">  ▸  CONSTRUCTION PRODUCTS</t>
  </si>
  <si>
    <t xml:space="preserve">Steel Reinforcement (TMT)</t>
  </si>
  <si>
    <t xml:space="preserve">Metal Recycling (EAF reuse)</t>
  </si>
  <si>
    <t xml:space="preserve">Aluminium Windows / Profiles</t>
  </si>
  <si>
    <t xml:space="preserve">Aluminium Recycling</t>
  </si>
  <si>
    <t xml:space="preserve">Glass (flat, windows)</t>
  </si>
  <si>
    <t xml:space="preserve">Glass Recycling</t>
  </si>
  <si>
    <t xml:space="preserve">Ceramic / Vitrified Tiles</t>
  </si>
  <si>
    <t xml:space="preserve">Construction Waste (inert landfill)</t>
  </si>
  <si>
    <t xml:space="preserve">Plasterboard / Gypsum Board</t>
  </si>
  <si>
    <t xml:space="preserve">Gypsum Recycling / Landfill</t>
  </si>
  <si>
    <t xml:space="preserve">Timber / Wood Products</t>
  </si>
  <si>
    <t xml:space="preserve">Landfill / Energy Recovery</t>
  </si>
  <si>
    <t xml:space="preserve">Concrete (demolition debris)</t>
  </si>
  <si>
    <t xml:space="preserve">Crushing &amp; Reuse as Aggregate</t>
  </si>
  <si>
    <t xml:space="preserve">  ▸  PACKAGING PRODUCTS</t>
  </si>
  <si>
    <t xml:space="preserve">Corrugated Cardboard</t>
  </si>
  <si>
    <t xml:space="preserve">PET Plastic Bottle</t>
  </si>
  <si>
    <t xml:space="preserve">HDPE Container</t>
  </si>
  <si>
    <t xml:space="preserve">Glass Bottle</t>
  </si>
  <si>
    <t xml:space="preserve">Aluminium Can</t>
  </si>
  <si>
    <t xml:space="preserve">Flexible Plastic (BOPP/PET film)</t>
  </si>
  <si>
    <t xml:space="preserve">Landfill / Incineration</t>
  </si>
  <si>
    <t xml:space="preserve">Multilayer Laminate (non-recyclable)</t>
  </si>
  <si>
    <t xml:space="preserve">  ▸  TEXTILE &amp; APPAREL</t>
  </si>
  <si>
    <t xml:space="preserve">Textile</t>
  </si>
  <si>
    <t xml:space="preserve">Cotton Garments</t>
  </si>
  <si>
    <t xml:space="preserve">Mixed (donation, landfill, recycle)</t>
  </si>
  <si>
    <t xml:space="preserve">Synthetic Garments (polyester)</t>
  </si>
  <si>
    <t xml:space="preserve">Shoes / Footwear</t>
  </si>
  <si>
    <t xml:space="preserve">Mixed (landfill)</t>
  </si>
  <si>
    <t xml:space="preserve">LEGEND: Blue=Fill units sold | Total waste = units × mass per unit ÷ 1000 | Negative tCO2e = avoided emission from recycling</t>
  </si>
  <si>
    <t xml:space="preserve">SCOPE 3 CATEGORY SUPPLIER PORTAL  |  DOWNSTREAM LEASED ASSETS (LEASED OUT)</t>
  </si>
  <si>
    <t xml:space="preserve">  ⬇  DOWNSTREAM EMISSION   |   Methodology: Emissions from assets leased OUT to third parties and operated by them.</t>
  </si>
  <si>
    <t xml:space="preserve">EF — Electricity
(tCO2e/kWh)</t>
  </si>
  <si>
    <t xml:space="preserve">EF — Fuel
(tCO2e/litre or GJ)</t>
  </si>
  <si>
    <t xml:space="preserve">Electricity kWh
(fill — lessee reports)</t>
  </si>
  <si>
    <t xml:space="preserve">Fuel qty
(litres/GJ, fill)</t>
  </si>
  <si>
    <t xml:space="preserve">Scope</t>
  </si>
  <si>
    <t xml:space="preserve">  ▸  REAL ESTATE (LEASED OUT)</t>
  </si>
  <si>
    <t xml:space="preserve">Real Estate</t>
  </si>
  <si>
    <t xml:space="preserve">Office Space ≤500 sqm</t>
  </si>
  <si>
    <t xml:space="preserve">Non-AC / basic fit-out</t>
  </si>
  <si>
    <t xml:space="preserve">Scope 1 (fuel) / Scope 2 (elec) — lessee ops</t>
  </si>
  <si>
    <t xml:space="preserve">Enter energy/fuel data from lessee (survey or estimate)</t>
  </si>
  <si>
    <t xml:space="preserve">Office Space 500–2000 sqm</t>
  </si>
  <si>
    <t xml:space="preserve">Fully air-conditioned</t>
  </si>
  <si>
    <t xml:space="preserve">Office Space &gt;2000 sqm</t>
  </si>
  <si>
    <t xml:space="preserve">Grade A commercial</t>
  </si>
  <si>
    <t xml:space="preserve">Retail Shop / Showroom (≤200 sqm)</t>
  </si>
  <si>
    <t xml:space="preserve">Mall / high street</t>
  </si>
  <si>
    <t xml:space="preserve">Large Retail (200–2000 sqm)</t>
  </si>
  <si>
    <t xml:space="preserve">Department store / hypermart</t>
  </si>
  <si>
    <t xml:space="preserve">Serviced Apartment / Hotel rooms</t>
  </si>
  <si>
    <t xml:space="preserve">Short / long stay</t>
  </si>
  <si>
    <t xml:space="preserve">Co-working / Managed Office Space</t>
  </si>
  <si>
    <t xml:space="preserve">Per desk basis</t>
  </si>
  <si>
    <t xml:space="preserve">  ▸  INDUSTRIAL / LOGISTICS (LEASED OUT)</t>
  </si>
  <si>
    <t xml:space="preserve">Ambient Warehouse (per sqm)</t>
  </si>
  <si>
    <t xml:space="preserve">Standard logistics</t>
  </si>
  <si>
    <t xml:space="preserve">Cold Storage / Refrigerated WH</t>
  </si>
  <si>
    <t xml:space="preserve">Temp-controlled facility</t>
  </si>
  <si>
    <t xml:space="preserve">Factory / Manufacturing Shed</t>
  </si>
  <si>
    <t xml:space="preserve">Plug-and-play industrial</t>
  </si>
  <si>
    <t xml:space="preserve">Chemical Plant / Hazardous Store</t>
  </si>
  <si>
    <t xml:space="preserve">Specialised facility</t>
  </si>
  <si>
    <t xml:space="preserve">Open Yard / Plot (outdoor)</t>
  </si>
  <si>
    <t xml:space="preserve">Minimal infra</t>
  </si>
  <si>
    <t xml:space="preserve">  ▸  EQUIPMENT (LEASED OUT)</t>
  </si>
  <si>
    <t xml:space="preserve">Diesel Generator (standby/hire)</t>
  </si>
  <si>
    <t xml:space="preserve">kVA basis, diesel</t>
  </si>
  <si>
    <t xml:space="preserve">Gas Generator</t>
  </si>
  <si>
    <t xml:space="preserve">PNG/CNG fired</t>
  </si>
  <si>
    <t xml:space="preserve">Construction Crane (wet lease)</t>
  </si>
  <si>
    <t xml:space="preserve">Diesel fuel</t>
  </si>
  <si>
    <t xml:space="preserve">Excavator / Earthmover</t>
  </si>
  <si>
    <t xml:space="preserve">Air Compressor (leased out)</t>
  </si>
  <si>
    <t xml:space="preserve">Pumping Station (electric)</t>
  </si>
  <si>
    <t xml:space="preserve">Industrial Boiler (hire)</t>
  </si>
  <si>
    <t xml:space="preserve">Diesel or gas</t>
  </si>
  <si>
    <t xml:space="preserve">  ▸  VEHICLES (LEASED OUT)</t>
  </si>
  <si>
    <t xml:space="preserve">Passenger Car Fleet (diesel)</t>
  </si>
  <si>
    <t xml:space="preserve">Diesel fleet lease</t>
  </si>
  <si>
    <t xml:space="preserve">Passenger Car Fleet (EV)</t>
  </si>
  <si>
    <t xml:space="preserve">Electric fleet lease</t>
  </si>
  <si>
    <t xml:space="preserve">LCV Fleet (diesel vans)</t>
  </si>
  <si>
    <t xml:space="preserve">Logistics / delivery lease</t>
  </si>
  <si>
    <t xml:space="preserve">HCV / Truck Fleet (diesel)</t>
  </si>
  <si>
    <t xml:space="preserve">Road freight lease</t>
  </si>
  <si>
    <t xml:space="preserve">Refrigerated Van Fleet</t>
  </si>
  <si>
    <t xml:space="preserve">Cold chain vehicles</t>
  </si>
  <si>
    <t xml:space="preserve">Bus / Coach Fleet (diesel)</t>
  </si>
  <si>
    <t xml:space="preserve">Staff / school transport</t>
  </si>
  <si>
    <t xml:space="preserve">Two-Wheeler Fleet (petrol)</t>
  </si>
  <si>
    <t xml:space="preserve">Field staff / delivery</t>
  </si>
  <si>
    <t xml:space="preserve">  ▸  AGRICULTURAL ASSETS (LEASED OUT)</t>
  </si>
  <si>
    <t xml:space="preserve">Tractor Fleet</t>
  </si>
  <si>
    <t xml:space="preserve">Diesel, seasonal hire</t>
  </si>
  <si>
    <t xml:space="preserve">Irrigation Pump (electric)</t>
  </si>
  <si>
    <t xml:space="preserve">Seasonal, electric</t>
  </si>
  <si>
    <t xml:space="preserve">Polyhouse / Greenhouse Structure</t>
  </si>
  <si>
    <t xml:space="preserve">Electricity for climate control</t>
  </si>
  <si>
    <t xml:space="preserve">  ▸  IT ASSETS (LEASED OUT)</t>
  </si>
  <si>
    <t xml:space="preserve">Laptop Fleet (BYO lease program)</t>
  </si>
  <si>
    <t xml:space="preserve">Server / Data Centre (sub-lease)</t>
  </si>
  <si>
    <t xml:space="preserve">Electric (per kW IT load)</t>
  </si>
  <si>
    <t xml:space="preserve">Network / Telecom Infrastructure</t>
  </si>
  <si>
    <t xml:space="preserve">Electric + diesel DG</t>
  </si>
  <si>
    <t xml:space="preserve">LEGEND: Reporting company = lessor | Blue=Fill lessee energy/fuel use | Source: lessee survey, utility bills, or industry benchmark</t>
  </si>
  <si>
    <t xml:space="preserve">SCOPE 3 CATEGORY SUPPLIER PORTAL  |  FRANCHISE OPERATIONS EMISSIONS</t>
  </si>
  <si>
    <t xml:space="preserve">  ⬇  DOWNSTREAM EMISSION   |   Methodology: Franchisor reports Scope 1+2 of franchisee operations. Units × energy × EF.</t>
  </si>
  <si>
    <t xml:space="preserve">Franchise Sector</t>
  </si>
  <si>
    <t xml:space="preserve">Franchise Format / Type</t>
  </si>
  <si>
    <t xml:space="preserve">Typical Size / Scale</t>
  </si>
  <si>
    <t xml:space="preserve">Electricity per Unit
(kWh/yr)</t>
  </si>
  <si>
    <t xml:space="preserve">Fuel per Unit
(GJ/yr)</t>
  </si>
  <si>
    <t xml:space="preserve">Grid EF
(tCO2e/kWh)</t>
  </si>
  <si>
    <t xml:space="preserve">Fuel EF
(tCO2e/GJ)</t>
  </si>
  <si>
    <t xml:space="preserve">No. of Units
(fill)</t>
  </si>
  <si>
    <t xml:space="preserve">  ▸  FOOD &amp; BEVERAGE</t>
  </si>
  <si>
    <t xml:space="preserve">Food &amp; Bev</t>
  </si>
  <si>
    <t xml:space="preserve">Quick Service Restaurant (QSR)</t>
  </si>
  <si>
    <t xml:space="preserve">~100–300 sqm</t>
  </si>
  <si>
    <t xml:space="preserve">Energy benchmarks from GBSN / BEE / Ecoinvent 3.9</t>
  </si>
  <si>
    <t xml:space="preserve">Café / Coffee Shop</t>
  </si>
  <si>
    <t xml:space="preserve">~50–150 sqm</t>
  </si>
  <si>
    <t xml:space="preserve">Casual Dining Restaurant</t>
  </si>
  <si>
    <t xml:space="preserve">~150–300 sqm</t>
  </si>
  <si>
    <t xml:space="preserve">Fine Dining Restaurant</t>
  </si>
  <si>
    <t xml:space="preserve">~100–200 sqm</t>
  </si>
  <si>
    <t xml:space="preserve">Cloud Kitchen / Dark Kitchen</t>
  </si>
  <si>
    <t xml:space="preserve">~30–80 sqm</t>
  </si>
  <si>
    <t xml:space="preserve">Ice Cream Parlour</t>
  </si>
  <si>
    <t xml:space="preserve">Bakery / Confectionery</t>
  </si>
  <si>
    <t xml:space="preserve">~50–100 sqm</t>
  </si>
  <si>
    <t xml:space="preserve">Juice / Smoothie Bar</t>
  </si>
  <si>
    <t xml:space="preserve">~20–50 sqm</t>
  </si>
  <si>
    <t xml:space="preserve">  ▸  RETAIL</t>
  </si>
  <si>
    <t xml:space="preserve">Retail</t>
  </si>
  <si>
    <t xml:space="preserve">Apparel / Fashion Store (200 sqm)</t>
  </si>
  <si>
    <t xml:space="preserve">Standard retail</t>
  </si>
  <si>
    <t xml:space="preserve">Electronics / Mobile Store (100 sqm)</t>
  </si>
  <si>
    <t xml:space="preserve">Air-conditioned</t>
  </si>
  <si>
    <t xml:space="preserve">Pharmacy / Chemist (~50 sqm)</t>
  </si>
  <si>
    <t xml:space="preserve">Refrigerated storage</t>
  </si>
  <si>
    <t xml:space="preserve">Supermarket / Grocery (500 sqm)</t>
  </si>
  <si>
    <t xml:space="preserve">Refrigeration + AC</t>
  </si>
  <si>
    <t xml:space="preserve">Footwear Store (150 sqm)</t>
  </si>
  <si>
    <t xml:space="preserve">Furniture / Home Décor (500 sqm)</t>
  </si>
  <si>
    <t xml:space="preserve">Showroom lighting</t>
  </si>
  <si>
    <t xml:space="preserve">Jewellery / Luxury Store (100 sqm)</t>
  </si>
  <si>
    <t xml:space="preserve">High-intensity lighting</t>
  </si>
  <si>
    <t xml:space="preserve">Auto Spare Parts / Service Centre</t>
  </si>
  <si>
    <t xml:space="preserve">Workshop + retail</t>
  </si>
  <si>
    <t xml:space="preserve">  ▸  HOSPITALITY</t>
  </si>
  <si>
    <t xml:space="preserve">Hospitality</t>
  </si>
  <si>
    <t xml:space="preserve">Budget / Economy Hotel (30 rooms)</t>
  </si>
  <si>
    <t xml:space="preserve">~2-star</t>
  </si>
  <si>
    <t xml:space="preserve">Mid-scale Hotel (50 rooms)</t>
  </si>
  <si>
    <t xml:space="preserve">~3-star</t>
  </si>
  <si>
    <t xml:space="preserve">Upscale Hotel (100 rooms)</t>
  </si>
  <si>
    <t xml:space="preserve">~4-star</t>
  </si>
  <si>
    <t xml:space="preserve">Serviced Apartment (20 units)</t>
  </si>
  <si>
    <t xml:space="preserve">Extended stay</t>
  </si>
  <si>
    <t xml:space="preserve">Homestay / B&amp;B (5 rooms)</t>
  </si>
  <si>
    <t xml:space="preserve">Budget hospitality</t>
  </si>
  <si>
    <t xml:space="preserve">  ▸  AUTOMOTIVE &amp; FUEL</t>
  </si>
  <si>
    <t xml:space="preserve">Automotive</t>
  </si>
  <si>
    <t xml:space="preserve">Fuel Station (HPCL/BPCL/HP/IOCL)</t>
  </si>
  <si>
    <t xml:space="preserve">Petrol pump + convenience</t>
  </si>
  <si>
    <t xml:space="preserve">Car Dealership &amp; Service Centre</t>
  </si>
  <si>
    <t xml:space="preserve">Showroom + workshop</t>
  </si>
  <si>
    <t xml:space="preserve">Two-Wheeler Dealership &amp; Service</t>
  </si>
  <si>
    <t xml:space="preserve">EV Charging Hub</t>
  </si>
  <si>
    <t xml:space="preserve">Charging + convenience</t>
  </si>
  <si>
    <t xml:space="preserve">Car Wash &amp; Detailing Centre</t>
  </si>
  <si>
    <t xml:space="preserve">Water + electricity intensive</t>
  </si>
  <si>
    <t xml:space="preserve">  ▸  LOGISTICS &amp; COURIER</t>
  </si>
  <si>
    <t xml:space="preserve">Logistics</t>
  </si>
  <si>
    <t xml:space="preserve">Courier / Parcel Hub (sorting)</t>
  </si>
  <si>
    <t xml:space="preserve">~500–2000 sqm</t>
  </si>
  <si>
    <t xml:space="preserve">Last-Mile Delivery Hub</t>
  </si>
  <si>
    <t xml:space="preserve">~200–500 sqm</t>
  </si>
  <si>
    <t xml:space="preserve">Moving &amp; Storage Franchise</t>
  </si>
  <si>
    <t xml:space="preserve">Vehicles + warehouse</t>
  </si>
  <si>
    <t xml:space="preserve">  ▸  HEALTH &amp; WELLNESS</t>
  </si>
  <si>
    <t xml:space="preserve">Health</t>
  </si>
  <si>
    <t xml:space="preserve">Gym / Fitness Centre (1000 sqm)</t>
  </si>
  <si>
    <t xml:space="preserve">Equipment + AC</t>
  </si>
  <si>
    <t xml:space="preserve">Yoga Studio / Wellness Centre</t>
  </si>
  <si>
    <t xml:space="preserve">~200 sqm, AC</t>
  </si>
  <si>
    <t xml:space="preserve">Diagnostic Centre / Pathology Lab</t>
  </si>
  <si>
    <t xml:space="preserve">Medical equipment</t>
  </si>
  <si>
    <t xml:space="preserve">Dental Clinic</t>
  </si>
  <si>
    <t xml:space="preserve">~100 sqm, medical equipment</t>
  </si>
  <si>
    <t xml:space="preserve">Optical Store</t>
  </si>
  <si>
    <t xml:space="preserve">~50 sqm, AC + lighting</t>
  </si>
  <si>
    <t xml:space="preserve">  ▸  EDUCATION &amp; SERVICES</t>
  </si>
  <si>
    <t xml:space="preserve">Education</t>
  </si>
  <si>
    <t xml:space="preserve">Coaching / Tuition Centre</t>
  </si>
  <si>
    <t xml:space="preserve">Pre-school / Playschool</t>
  </si>
  <si>
    <t xml:space="preserve">~200–500 sqm, AC</t>
  </si>
  <si>
    <t xml:space="preserve">Laundry &amp; Dry Cleaning</t>
  </si>
  <si>
    <t xml:space="preserve">Steam + electricity</t>
  </si>
  <si>
    <t xml:space="preserve">Co-working Space (per 50 seats)</t>
  </si>
  <si>
    <t xml:space="preserve">Shared office</t>
  </si>
  <si>
    <t xml:space="preserve">Print &amp; Copy Centre</t>
  </si>
  <si>
    <t xml:space="preserve">Printing equipment</t>
  </si>
  <si>
    <t xml:space="preserve">LEGEND: Blue=Fill number of franchise units | Energy benchmarks pre-filled per format | tCO2e = units × (kWh × EF + GJ fuel × EF)</t>
  </si>
  <si>
    <t xml:space="preserve">SCOPE 3 CATEGORY SUPPLIER PORTAL  |  FINANCED EMISSIONS (INVESTMENTS, LOANS, BONDS)</t>
  </si>
  <si>
    <t xml:space="preserve">  ⬇  DOWNSTREAM EMISSION   |   Methodology: PCAF standard: attributed emissions = investee (S1+S2) × (investment / EVIC).</t>
  </si>
  <si>
    <t xml:space="preserve">PCAF Asset Class</t>
  </si>
  <si>
    <t xml:space="preserve">Investment Sub-type</t>
  </si>
  <si>
    <t xml:space="preserve">Attribution Method</t>
  </si>
  <si>
    <t xml:space="preserve">Investment /
Outstanding Loan
(INR Cr, fill)</t>
  </si>
  <si>
    <t xml:space="preserve">EVIC / Property
Value / Revenue
(INR Cr, fill)</t>
  </si>
  <si>
    <t xml:space="preserve">Investee
Scope 1
(tCO2e, fill)</t>
  </si>
  <si>
    <t xml:space="preserve">Investee
Scope 2
(tCO2e, fill)</t>
  </si>
  <si>
    <t xml:space="preserve">Attribution
Factor</t>
  </si>
  <si>
    <t xml:space="preserve">Allocated
tCO2e</t>
  </si>
  <si>
    <t xml:space="preserve">PCAF Data
Quality (1–5)</t>
  </si>
  <si>
    <t xml:space="preserve">  ▸  LISTED EQUITY</t>
  </si>
  <si>
    <t xml:space="preserve">Listed Equity</t>
  </si>
  <si>
    <t xml:space="preserve">Large-cap Energy / Utilities (coal-heavy)</t>
  </si>
  <si>
    <t xml:space="preserve">Investment ÷ EVIC</t>
  </si>
  <si>
    <t xml:space="preserve">PCAF Global Standard v2 / GHG Protocol</t>
  </si>
  <si>
    <t xml:space="preserve">Fill cols D–G; PCAF attribution factor auto-calculated</t>
  </si>
  <si>
    <t xml:space="preserve">Large-cap Energy / Utilities (gas-heavy)</t>
  </si>
  <si>
    <t xml:space="preserve">Large-cap Energy (renewables)</t>
  </si>
  <si>
    <t xml:space="preserve">Large-cap Metals &amp; Mining</t>
  </si>
  <si>
    <t xml:space="preserve">Large-cap Chemicals / Petrochemicals</t>
  </si>
  <si>
    <t xml:space="preserve">Large-cap Cement</t>
  </si>
  <si>
    <t xml:space="preserve">Large-cap Auto (OEM, petrol/diesel)</t>
  </si>
  <si>
    <t xml:space="preserve">Large-cap Auto (EV manufacturer)</t>
  </si>
  <si>
    <t xml:space="preserve">Large-cap FMCG / Consumer</t>
  </si>
  <si>
    <t xml:space="preserve">Large-cap IT / Software</t>
  </si>
  <si>
    <t xml:space="preserve">Large-cap Banking / NBFC</t>
  </si>
  <si>
    <t xml:space="preserve">Large-cap Real Estate (REIT)</t>
  </si>
  <si>
    <t xml:space="preserve">Mid-cap / Small-cap (any sector)</t>
  </si>
  <si>
    <t xml:space="preserve">  ▸  UNLISTED / PRIVATE EQUITY</t>
  </si>
  <si>
    <t xml:space="preserve">Unlisted Equity</t>
  </si>
  <si>
    <t xml:space="preserve">Private Equity — Manufacturing</t>
  </si>
  <si>
    <t xml:space="preserve">Investment ÷ Total Equity (book value)</t>
  </si>
  <si>
    <t xml:space="preserve">Private Equity — Tech / SaaS</t>
  </si>
  <si>
    <t xml:space="preserve">Investment ÷ Total Equity</t>
  </si>
  <si>
    <t xml:space="preserve">Private Equity — Renewable Energy</t>
  </si>
  <si>
    <t xml:space="preserve">Venture Capital (early stage)</t>
  </si>
  <si>
    <t xml:space="preserve">Family Business / Promoter Stake</t>
  </si>
  <si>
    <t xml:space="preserve">  ▸  CORPORATE BONDS / DEBT</t>
  </si>
  <si>
    <t xml:space="preserve">Corporate Bond</t>
  </si>
  <si>
    <t xml:space="preserve">Investment Grade Bond (energy sector)</t>
  </si>
  <si>
    <t xml:space="preserve">Outstanding amount ÷ EVIC</t>
  </si>
  <si>
    <t xml:space="preserve">Investment Grade Bond (industrials)</t>
  </si>
  <si>
    <t xml:space="preserve">Green Bond (verified use-of-proceeds)</t>
  </si>
  <si>
    <t xml:space="preserve">Sustainability-Linked Bond (SLB)</t>
  </si>
  <si>
    <t xml:space="preserve">High-yield Bond (below investment grade)</t>
  </si>
  <si>
    <t xml:space="preserve">  ▸  BUSINESS LOANS (SME / CORPORATE)</t>
  </si>
  <si>
    <t xml:space="preserve">Business Loan</t>
  </si>
  <si>
    <t xml:space="preserve">Working Capital Loan (manufacturing)</t>
  </si>
  <si>
    <t xml:space="preserve">Outstanding loan ÷ Revenue</t>
  </si>
  <si>
    <t xml:space="preserve">Term Loan — Greenfield Factory</t>
  </si>
  <si>
    <t xml:space="preserve">MSME Loan (micro enterprise)</t>
  </si>
  <si>
    <t xml:space="preserve">Agriculture / Farm Loan</t>
  </si>
  <si>
    <t xml:space="preserve">Trade Finance (LC, export credit)</t>
  </si>
  <si>
    <t xml:space="preserve">  ▸  PROJECT FINANCE</t>
  </si>
  <si>
    <t xml:space="preserve">Project Finance</t>
  </si>
  <si>
    <t xml:space="preserve">Solar Power Project (utility scale)</t>
  </si>
  <si>
    <t xml:space="preserve">Equity share ÷ Total equity</t>
  </si>
  <si>
    <t xml:space="preserve">Wind Power Project</t>
  </si>
  <si>
    <t xml:space="preserve">Coal / Gas Power Plant</t>
  </si>
  <si>
    <t xml:space="preserve">Equity ÷ Total equity</t>
  </si>
  <si>
    <t xml:space="preserve">Road / Highway Infra</t>
  </si>
  <si>
    <t xml:space="preserve">Water Treatment / Desalination</t>
  </si>
  <si>
    <t xml:space="preserve">Port / Logistics Infrastructure</t>
  </si>
  <si>
    <t xml:space="preserve">  ▸  COMMERCIAL REAL ESTATE (CRE) MORTGAGES</t>
  </si>
  <si>
    <t xml:space="preserve">CRE Mortgage</t>
  </si>
  <si>
    <t xml:space="preserve">Office Building — Grade A</t>
  </si>
  <si>
    <t xml:space="preserve">Outstanding loan ÷ Property value</t>
  </si>
  <si>
    <t xml:space="preserve">Retail Mall / Shopping Centre</t>
  </si>
  <si>
    <t xml:space="preserve">Industrial / Warehouse</t>
  </si>
  <si>
    <t xml:space="preserve">Hotel / Hospitality Property</t>
  </si>
  <si>
    <t xml:space="preserve">  ▸  RESIDENTIAL MORTGAGES</t>
  </si>
  <si>
    <t xml:space="preserve">Residential Mortgage</t>
  </si>
  <si>
    <t xml:space="preserve">Tier 1 City Apartment (new)</t>
  </si>
  <si>
    <t xml:space="preserve">Tier 2/3 City House</t>
  </si>
  <si>
    <t xml:space="preserve">Affordable Housing (&lt;₹45 lakh)</t>
  </si>
  <si>
    <t xml:space="preserve">  ▸  MOTOR VEHICLE LOANS</t>
  </si>
  <si>
    <t xml:space="preserve">Motor Vehicle Loan</t>
  </si>
  <si>
    <t xml:space="preserve">Petrol / Diesel Car Loan</t>
  </si>
  <si>
    <t xml:space="preserve">Outstanding loan ÷ Car value</t>
  </si>
  <si>
    <t xml:space="preserve">Electric Vehicle (EV) Car Loan</t>
  </si>
  <si>
    <t xml:space="preserve">Two-Wheeler Loan (petrol)</t>
  </si>
  <si>
    <t xml:space="preserve">Outstanding loan ÷ Vehicle value</t>
  </si>
  <si>
    <t xml:space="preserve">Commercial Vehicle Loan (HCV diesel)</t>
  </si>
  <si>
    <t xml:space="preserve">  ▸  FUND INVESTMENTS</t>
  </si>
  <si>
    <t xml:space="preserve">Fund Investment</t>
  </si>
  <si>
    <t xml:space="preserve">Equity Mutual Fund (diversified)</t>
  </si>
  <si>
    <t xml:space="preserve">Pro-rata NAV share</t>
  </si>
  <si>
    <t xml:space="preserve">ESG / Green Fund</t>
  </si>
  <si>
    <t xml:space="preserve">Infrastructure Fund</t>
  </si>
  <si>
    <t xml:space="preserve">Private Credit Fund</t>
  </si>
  <si>
    <t xml:space="preserve">Pension / Provident Fund Allocation</t>
  </si>
  <si>
    <t xml:space="preserve">  ▸  SOVEREIGN / QUASI-SOVEREIGN</t>
  </si>
  <si>
    <t xml:space="preserve">Sovereign Bond</t>
  </si>
  <si>
    <t xml:space="preserve">India Government Bond (G-sec)</t>
  </si>
  <si>
    <t xml:space="preserve">National GHG ÷ GDP × Bond value</t>
  </si>
  <si>
    <t xml:space="preserve">State Government Bond</t>
  </si>
  <si>
    <t xml:space="preserve">State GHG ÷ SGDP × Bond value</t>
  </si>
  <si>
    <t xml:space="preserve">Green Sovereign Bond</t>
  </si>
  <si>
    <t xml:space="preserve">Green use-of-proceeds tracking</t>
  </si>
  <si>
    <t xml:space="preserve">LEGEND: Blue=Fill investment value, EVIC, investee S1+S2 | Attribution = Investment ÷ EVIC | Allocated tCO2e = (S1+S2) × Attribution factor | PCAF score: 1=best, 5=worst</t>
  </si>
  <si>
    <t xml:space="preserve">SUPPLIER EMISSION BANK  |  Master Record — One supplier, many clients</t>
  </si>
  <si>
    <t xml:space="preserve">  Each row = one supplier record. Allocation columns apportion emissions to multiple clients by spend share. Quality: Verified &gt; Partial &gt; Industry Avg &gt; Spend-based.</t>
  </si>
  <si>
    <t xml:space="preserve">Supplier Name</t>
  </si>
  <si>
    <t xml:space="preserve">GSTIN / ID</t>
  </si>
  <si>
    <t xml:space="preserve">Country</t>
  </si>
  <si>
    <t xml:space="preserve">Industry (NIC)</t>
  </si>
  <si>
    <t xml:space="preserve">Scope 3 Cat.</t>
  </si>
  <si>
    <t xml:space="preserve">Scope 1 (tCO2e)</t>
  </si>
  <si>
    <t xml:space="preserve">Scope 2 loc. (tCO2e)</t>
  </si>
  <si>
    <t xml:space="preserve">Scope 2 mkt. (tCO2e)</t>
  </si>
  <si>
    <t xml:space="preserve">Revenue (INR Cr)</t>
  </si>
  <si>
    <t xml:space="preserve">Intensity (tCO2e/INR Lakh)</t>
  </si>
  <si>
    <t xml:space="preserve">Intensity Unit</t>
  </si>
  <si>
    <t xml:space="preserve">Data Quality</t>
  </si>
  <si>
    <t xml:space="preserve">Verifier</t>
  </si>
  <si>
    <t xml:space="preserve">Standard</t>
  </si>
  <si>
    <t xml:space="preserve">Client A Spend (INR L)</t>
  </si>
  <si>
    <t xml:space="preserve">Client B Spend (INR L)</t>
  </si>
  <si>
    <t xml:space="preserve">Client C Spend (INR L)</t>
  </si>
  <si>
    <t xml:space="preserve">Client A Alloc. tCO2e</t>
  </si>
  <si>
    <t xml:space="preserve">Client B Alloc. tCO2e</t>
  </si>
  <si>
    <t xml:space="preserve">Client C Alloc. tCO2e</t>
  </si>
  <si>
    <t xml:space="preserve">Total Allocated tCO2e</t>
  </si>
  <si>
    <t xml:space="preserve">Tata Steel Ltd</t>
  </si>
  <si>
    <t xml:space="preserve">27AAACT2727Q1ZP</t>
  </si>
  <si>
    <t xml:space="preserve">Steel (241)</t>
  </si>
  <si>
    <t xml:space="preserve">Cat 1</t>
  </si>
  <si>
    <t xml:space="preserve">tCO2e/tonne</t>
  </si>
  <si>
    <t xml:space="preserve">Bureau Veritas</t>
  </si>
  <si>
    <t xml:space="preserve">GHG Protocol</t>
  </si>
  <si>
    <t xml:space="preserve">Blue Dart Express</t>
  </si>
  <si>
    <t xml:space="preserve">29AABCB0750K1ZD</t>
  </si>
  <si>
    <t xml:space="preserve">Logistics (492)</t>
  </si>
  <si>
    <t xml:space="preserve">Cat 4</t>
  </si>
  <si>
    <t xml:space="preserve">tCO2e/tonne-km</t>
  </si>
  <si>
    <t xml:space="preserve">KPMG</t>
  </si>
  <si>
    <t xml:space="preserve">Arvind Ltd</t>
  </si>
  <si>
    <t xml:space="preserve">24AAACA6877P1ZS</t>
  </si>
  <si>
    <t xml:space="preserve">Textiles (131)</t>
  </si>
  <si>
    <t xml:space="preserve">Partial</t>
  </si>
  <si>
    <t xml:space="preserve">DNV</t>
  </si>
  <si>
    <t xml:space="preserve">ISO 14064</t>
  </si>
  <si>
    <t xml:space="preserve">Maersk India</t>
  </si>
  <si>
    <t xml:space="preserve">AACCM3001F</t>
  </si>
  <si>
    <t xml:space="preserve">India/DK</t>
  </si>
  <si>
    <t xml:space="preserve">Shipping (501)</t>
  </si>
  <si>
    <t xml:space="preserve">tCO2e/tonne-nm</t>
  </si>
  <si>
    <t xml:space="preserve">Lloyd's</t>
  </si>
  <si>
    <t xml:space="preserve">Generic Packaging Co.</t>
  </si>
  <si>
    <t xml:space="preserve">INDUSTRY-AVG</t>
  </si>
  <si>
    <t xml:space="preserve">Packaging (222)</t>
  </si>
  <si>
    <t xml:space="preserve">Industry Avg</t>
  </si>
  <si>
    <t xml:space="preserve">IPCC/Ecoinvent</t>
  </si>
  <si>
    <t xml:space="preserve">IT Services Provider</t>
  </si>
  <si>
    <t xml:space="preserve">27AABCI0750K1ZX</t>
  </si>
  <si>
    <t xml:space="preserve">IT (620)</t>
  </si>
  <si>
    <t xml:space="preserve">tCO2e/INR Lakh</t>
  </si>
  <si>
    <t xml:space="preserve">EY</t>
  </si>
  <si>
    <t xml:space="preserve">CLIENT SCOPE 3 TRACKER  |  Cross-client emission view across all 15 categories</t>
  </si>
  <si>
    <t xml:space="preserve">  Pulls allocated emissions from Supplier Bank. Add more client columns as needed. Materiality = % of client total.</t>
  </si>
  <si>
    <t xml:space="preserve">Cat #</t>
  </si>
  <si>
    <t xml:space="preserve">Scope 3 Category</t>
  </si>
  <si>
    <t xml:space="preserve">Direction</t>
  </si>
  <si>
    <t xml:space="preserve">Allocation Method</t>
  </si>
  <si>
    <t xml:space="preserve">Client A (INR L)</t>
  </si>
  <si>
    <t xml:space="preserve">Client A tCO2e</t>
  </si>
  <si>
    <t xml:space="preserve">Client A Materiality %</t>
  </si>
  <si>
    <t xml:space="preserve">Client B (INR L)</t>
  </si>
  <si>
    <t xml:space="preserve">Client B tCO2e</t>
  </si>
  <si>
    <t xml:space="preserve">Client B Materiality %</t>
  </si>
  <si>
    <t xml:space="preserve">Client C (INR L)</t>
  </si>
  <si>
    <t xml:space="preserve">Client C tCO2e</t>
  </si>
  <si>
    <t xml:space="preserve">Client C Materiality %</t>
  </si>
  <si>
    <t xml:space="preserve">Benchmark (sector avg)</t>
  </si>
  <si>
    <t xml:space="preserve">Primary source</t>
  </si>
  <si>
    <t xml:space="preserve">Purchased goods &amp; services</t>
  </si>
  <si>
    <t xml:space="preserve">Upstream</t>
  </si>
  <si>
    <t xml:space="preserve">Spend-based</t>
  </si>
  <si>
    <t xml:space="preserve">Capital goods</t>
  </si>
  <si>
    <t xml:space="preserve">Fuel &amp; energy (EUOU)</t>
  </si>
  <si>
    <t xml:space="preserve">Consumption-based</t>
  </si>
  <si>
    <t xml:space="preserve">Upstream transport</t>
  </si>
  <si>
    <t xml:space="preserve">Tonne-km based</t>
  </si>
  <si>
    <t xml:space="preserve">Waste generated</t>
  </si>
  <si>
    <t xml:space="preserve">Waste tonnage</t>
  </si>
  <si>
    <t xml:space="preserve">Business travel</t>
  </si>
  <si>
    <t xml:space="preserve">Spend / pax-km</t>
  </si>
  <si>
    <t xml:space="preserve">Employee commuting</t>
  </si>
  <si>
    <t xml:space="preserve">Employee survey</t>
  </si>
  <si>
    <t xml:space="preserve">Upstream leased assets</t>
  </si>
  <si>
    <t xml:space="preserve">Energy consumed</t>
  </si>
  <si>
    <t xml:space="preserve">Downstream transport</t>
  </si>
  <si>
    <t xml:space="preserve">Downstream</t>
  </si>
  <si>
    <t xml:space="preserve">Processing of products</t>
  </si>
  <si>
    <t xml:space="preserve">Mass output</t>
  </si>
  <si>
    <t xml:space="preserve">Use of sold products</t>
  </si>
  <si>
    <t xml:space="preserve">Units sold × lifetime</t>
  </si>
  <si>
    <t xml:space="preserve">End-of-life treatment</t>
  </si>
  <si>
    <t xml:space="preserve">Mass disposed</t>
  </si>
  <si>
    <t xml:space="preserve">Downstream leased assets</t>
  </si>
  <si>
    <t xml:space="preserve">Franchises</t>
  </si>
  <si>
    <t xml:space="preserve">Franchise unit energy</t>
  </si>
  <si>
    <t xml:space="preserve">Investments (financed)</t>
  </si>
  <si>
    <t xml:space="preserve">PCAF attribution</t>
  </si>
  <si>
    <t xml:space="preserve">CARBON INTELLIGENCE DASHBOARD  |  Hotspots · Reduction Progress · SBTi Gap · Supplier Engagement</t>
  </si>
  <si>
    <t xml:space="preserve">A  |  SCOPE 3 HOTSPOT ANALYSIS (Client A)</t>
  </si>
  <si>
    <t xml:space="preserve">% of Total</t>
  </si>
  <si>
    <t xml:space="preserve">YoY Change %</t>
  </si>
  <si>
    <t xml:space="preserve">Materiality Tier</t>
  </si>
  <si>
    <t xml:space="preserve">Action Priority</t>
  </si>
  <si>
    <t xml:space="preserve">Cat 1 – Purchased goods</t>
  </si>
  <si>
    <t xml:space="preserve">HIGH</t>
  </si>
  <si>
    <t xml:space="preserve">Supplier engagement</t>
  </si>
  <si>
    <t xml:space="preserve">Cat 2 – Capital goods</t>
  </si>
  <si>
    <t xml:space="preserve">LOW</t>
  </si>
  <si>
    <t xml:space="preserve">Monitor</t>
  </si>
  <si>
    <t xml:space="preserve">Cat 3 – Fuel &amp; energy</t>
  </si>
  <si>
    <t xml:space="preserve">MED</t>
  </si>
  <si>
    <t xml:space="preserve">Renewable energy shift</t>
  </si>
  <si>
    <t xml:space="preserve">Cat 4 – Transport (up)</t>
  </si>
  <si>
    <t xml:space="preserve">3PL decarbonisation</t>
  </si>
  <si>
    <t xml:space="preserve">Waste reduction</t>
  </si>
  <si>
    <t xml:space="preserve">Cat 6 – Business travel</t>
  </si>
  <si>
    <t xml:space="preserve">Travel policy</t>
  </si>
  <si>
    <t xml:space="preserve">EV incentive</t>
  </si>
  <si>
    <t xml:space="preserve">Cat 8 – Leased assets</t>
  </si>
  <si>
    <t xml:space="preserve">Green lease</t>
  </si>
  <si>
    <t xml:space="preserve">Cat 9 – Transport (down)</t>
  </si>
  <si>
    <t xml:space="preserve">Last-mile EV</t>
  </si>
  <si>
    <t xml:space="preserve">N/A</t>
  </si>
  <si>
    <t xml:space="preserve">Not applicable</t>
  </si>
  <si>
    <t xml:space="preserve">Cat 11 – Use of products</t>
  </si>
  <si>
    <t xml:space="preserve">Product efficiency R&amp;D</t>
  </si>
  <si>
    <t xml:space="preserve">Cat 12 – End-of-life</t>
  </si>
  <si>
    <t xml:space="preserve">Recycled content</t>
  </si>
  <si>
    <t xml:space="preserve">Cat 13 – Leased (down)</t>
  </si>
  <si>
    <t xml:space="preserve">Portfolio ESG screening</t>
  </si>
  <si>
    <t xml:space="preserve">TOTAL SCOPE 3</t>
  </si>
  <si>
    <t xml:space="preserve">B  |  SCIENCE-BASED TARGET (SBTi) REDUCTION ROADMAP — CLIENT A</t>
  </si>
  <si>
    <t xml:space="preserve">Year</t>
  </si>
  <si>
    <t xml:space="preserve">Total Scope 3 (tCO2e)</t>
  </si>
  <si>
    <t xml:space="preserve">SBTi Target (1.5°C path)</t>
  </si>
  <si>
    <t xml:space="preserve">Gap to Target (tCO2e)</t>
  </si>
  <si>
    <t xml:space="preserve">Gap %</t>
  </si>
  <si>
    <t xml:space="preserve">Required reduction YoY</t>
  </si>
  <si>
    <t xml:space="preserve">Status</t>
  </si>
  <si>
    <t xml:space="preserve">Baseline</t>
  </si>
  <si>
    <t xml:space="preserve">On track</t>
  </si>
  <si>
    <t xml:space="preserve">On track ✓</t>
  </si>
  <si>
    <t xml:space="preserve">Target</t>
  </si>
  <si>
    <t xml:space="preserve">Milestone</t>
  </si>
  <si>
    <t xml:space="preserve">50% reduction</t>
  </si>
  <si>
    <t xml:space="preserve">C  |  SUPPLIER ENGAGEMENT PRIORITY SCORING</t>
  </si>
  <si>
    <t xml:space="preserve">Allocated tCO2e</t>
  </si>
  <si>
    <t xml:space="preserve">% of S3 Total</t>
  </si>
  <si>
    <t xml:space="preserve">Data Quality Score (1–5)</t>
  </si>
  <si>
    <t xml:space="preserve">Has SBTi target?</t>
  </si>
  <si>
    <t xml:space="preserve">Decarbonisation YoY %</t>
  </si>
  <si>
    <t xml:space="preserve">Engagement Score (auto)</t>
  </si>
  <si>
    <t xml:space="preserve">Priority Tier</t>
  </si>
  <si>
    <t xml:space="preserve">Recommended Action</t>
  </si>
  <si>
    <t xml:space="preserve">Next Review Date</t>
  </si>
  <si>
    <t xml:space="preserve">Yes</t>
  </si>
  <si>
    <t xml:space="preserve">Deepen engagement, set joint targets</t>
  </si>
  <si>
    <t xml:space="preserve">Q2 2025</t>
  </si>
  <si>
    <t xml:space="preserve">Share best practice, reward progress</t>
  </si>
  <si>
    <t xml:space="preserve">Q3 2025</t>
  </si>
  <si>
    <t xml:space="preserve">No</t>
  </si>
  <si>
    <t xml:space="preserve">SBTi onboarding support</t>
  </si>
  <si>
    <t xml:space="preserve">Q1 2025</t>
  </si>
  <si>
    <t xml:space="preserve">Lock in long-term green freight contract</t>
  </si>
  <si>
    <t xml:space="preserve">Primary data collection urgent</t>
  </si>
  <si>
    <t xml:space="preserve">Request primary data, set target</t>
  </si>
  <si>
    <t xml:space="preserve">EMISSION FACTORS REFERENCE  |  Use for spend-based / secondary data estimates</t>
  </si>
  <si>
    <t xml:space="preserve">TRANSPORT — FREIGHT</t>
  </si>
  <si>
    <t xml:space="preserve">Activity / Fuel / Material</t>
  </si>
  <si>
    <t xml:space="preserve">EF (tCO2e)</t>
  </si>
  <si>
    <t xml:space="preserve">Road (rigid truck, diesel)</t>
  </si>
  <si>
    <t xml:space="preserve">Road (articulated, diesel)</t>
  </si>
  <si>
    <t xml:space="preserve">Rail (diesel freight)</t>
  </si>
  <si>
    <t xml:space="preserve">Rail (electric freight)</t>
  </si>
  <si>
    <t xml:space="preserve">DEFRA 2024 / CEA 2024</t>
  </si>
  <si>
    <t xml:space="preserve">Sea (container ship)</t>
  </si>
  <si>
    <t xml:space="preserve">Sea (bulk carrier)</t>
  </si>
  <si>
    <t xml:space="preserve">Air (freight, long-haul)</t>
  </si>
  <si>
    <t xml:space="preserve">Air (freight, short-haul)</t>
  </si>
  <si>
    <t xml:space="preserve">ELECTRICITY — INDIA GRID (CEA 2023–24)</t>
  </si>
  <si>
    <t xml:space="preserve">India national grid (CO2 only)</t>
  </si>
  <si>
    <t xml:space="preserve">tCO2e/MWh</t>
  </si>
  <si>
    <t xml:space="preserve">CEA 2023-24</t>
  </si>
  <si>
    <t xml:space="preserve">India national grid (CO2+CH4+N2O)</t>
  </si>
  <si>
    <t xml:space="preserve">Solar (lifecycle)</t>
  </si>
  <si>
    <t xml:space="preserve">IPCC AR6</t>
  </si>
  <si>
    <t xml:space="preserve">Wind (lifecycle)</t>
  </si>
  <si>
    <t xml:space="preserve">BUSINESS TRAVEL</t>
  </si>
  <si>
    <t xml:space="preserve">Economy flight, short-haul (&lt;3h)</t>
  </si>
  <si>
    <t xml:space="preserve">tCO2e/pax-km</t>
  </si>
  <si>
    <t xml:space="preserve">Economy flight, long-haul (&gt;3h)</t>
  </si>
  <si>
    <t xml:space="preserve">Business class, long-haul</t>
  </si>
  <si>
    <t xml:space="preserve">DEFRA 2024 (×2.2)</t>
  </si>
  <si>
    <t xml:space="preserve">Hotel (global avg)</t>
  </si>
  <si>
    <t xml:space="preserve">tCO2e/room-night</t>
  </si>
  <si>
    <t xml:space="preserve">Cornell Hotel Sustainability Benchmarking</t>
  </si>
  <si>
    <t xml:space="preserve">Car hire (petrol, mid-size)</t>
  </si>
  <si>
    <t xml:space="preserve">tCO2e/km</t>
  </si>
  <si>
    <t xml:space="preserve">WASTE TREATMENT</t>
  </si>
  <si>
    <t xml:space="preserve">Landfill (mixed municipal)</t>
  </si>
  <si>
    <t xml:space="preserve">IPCC Waste Guidelines</t>
  </si>
  <si>
    <t xml:space="preserve">Incineration (w/ energy recovery)</t>
  </si>
  <si>
    <t xml:space="preserve">Recycling (paper/cardboard)</t>
  </si>
  <si>
    <t xml:space="preserve">DEFRA 2024 (avoided)</t>
  </si>
  <si>
    <t xml:space="preserve">Composting (food waste)</t>
  </si>
  <si>
    <t xml:space="preserve">MATERIALS — INDUSTRY AVG (Ecoinvent 3.9)</t>
  </si>
  <si>
    <t xml:space="preserve">Steel (virgin, blast furnace)</t>
  </si>
  <si>
    <t xml:space="preserve">Aluminium (primary)</t>
  </si>
  <si>
    <t xml:space="preserve">Plastic (HDPE)</t>
  </si>
  <si>
    <t xml:space="preserve">Paper (uncoated)</t>
  </si>
  <si>
    <t xml:space="preserve">Cotton fabric</t>
  </si>
  <si>
    <t xml:space="preserve">Cement (OPC)</t>
  </si>
  <si>
    <t xml:space="preserve">APPLICATION INTRODUCTION GUIDE  |  How to roll out the Carbon Intelligence Platform to clients &amp; suppliers</t>
  </si>
  <si>
    <t xml:space="preserve">PHASE 1 — SUPPLIER ONBOARDING</t>
  </si>
  <si>
    <t xml:space="preserve">Step 1.1</t>
  </si>
  <si>
    <t xml:space="preserve">Identify top 15 suppliers by spend for each client (use Cat 1 sheet as starting point)</t>
  </si>
  <si>
    <t xml:space="preserve">Step 1.2</t>
  </si>
  <si>
    <t xml:space="preserve">Send supplier the standardised questionnaire (cols in each Cat sheet). Use primary data wherever possible.</t>
  </si>
  <si>
    <t xml:space="preserve">Step 1.3</t>
  </si>
  <si>
    <t xml:space="preserve">Set a data submission deadline (suggest 4–6 weeks). Offer a supplier helpline/FAQ.</t>
  </si>
  <si>
    <t xml:space="preserve">Step 1.4</t>
  </si>
  <si>
    <t xml:space="preserve">Log each submission in the Supplier Bank. Mark quality tier: Verified / Partial / Industry Avg / Spend-based.</t>
  </si>
  <si>
    <t xml:space="preserve">Step 1.5</t>
  </si>
  <si>
    <t xml:space="preserve">Chase partial submissions. For no-response suppliers, use Ecoinvent/DEFRA industry average (flag clearly).</t>
  </si>
  <si>
    <t xml:space="preserve">Step 1.6</t>
  </si>
  <si>
    <t xml:space="preserve">Upload verified records to the bank. One supplier row per Scope 3 category they're relevant to.</t>
  </si>
  <si>
    <t xml:space="preserve">PHASE 2 — CLIENT SCOPE 3 CALCULATION</t>
  </si>
  <si>
    <t xml:space="preserve">Step 2.1</t>
  </si>
  <si>
    <t xml:space="preserve">Open Client Scope 3 Tracker. Enter client's spend with each supplier in the relevant row.</t>
  </si>
  <si>
    <t xml:space="preserve">Step 2.2</t>
  </si>
  <si>
    <t xml:space="preserve">The allocation formula auto-computes: Client tCO2e = Supplier (S1+S2) × (client spend ÷ total supplier revenue).</t>
  </si>
  <si>
    <t xml:space="preserve">Step 2.3</t>
  </si>
  <si>
    <t xml:space="preserve">For non-supplier categories (Cat 3, 5, 6, 7, 8, 11, 12): collect activity data directly from client.</t>
  </si>
  <si>
    <t xml:space="preserve">Step 2.4</t>
  </si>
  <si>
    <t xml:space="preserve">Apply emission factors from the 'Emission Factors Ref' sheet. Document source in Notes column.</t>
  </si>
  <si>
    <t xml:space="preserve">Step 2.5</t>
  </si>
  <si>
    <t xml:space="preserve">Sum all 15 categories for client's total Scope 3. Cross-check materiality % — Cat 1 should dominate for most clients.</t>
  </si>
  <si>
    <t xml:space="preserve">Step 2.6</t>
  </si>
  <si>
    <t xml:space="preserve">Export client report: total tCO2e, breakdown by category, data quality % (% based on primary data).</t>
  </si>
  <si>
    <t xml:space="preserve">PHASE 3 — CARBON INTELLIGENCE ACTIVATION</t>
  </si>
  <si>
    <t xml:space="preserve">Step 3.1</t>
  </si>
  <si>
    <t xml:space="preserve">Open Carbon Intelligence sheet. Review hotspot analysis — identify top 3 categories contributing &gt;80% of Scope 3.</t>
  </si>
  <si>
    <t xml:space="preserve">Step 3.2</t>
  </si>
  <si>
    <t xml:space="preserve">Set SBTi baseline in the Roadmap section. Calculate 4.2% YoY reduction target (1.5°C pathway).</t>
  </si>
  <si>
    <t xml:space="preserve">Step 3.3</t>
  </si>
  <si>
    <t xml:space="preserve">Run supplier engagement scoring. Prioritise suppliers with: high tCO2e + low data quality + no SBTi target.</t>
  </si>
  <si>
    <t xml:space="preserve">Step 3.4</t>
  </si>
  <si>
    <t xml:space="preserve">Brief client on top 3 actions: (a) supplier SBTi programme, (b) product efficiency improvement, (c) logistics decarbonisation.</t>
  </si>
  <si>
    <t xml:space="preserve">Step 3.5</t>
  </si>
  <si>
    <t xml:space="preserve">Set annual review cadence: supplier data refresh Q1, client report Q2, carbon intelligence review Q3.</t>
  </si>
  <si>
    <t xml:space="preserve">PHASE 4 — CROSS-CLIENT SUPPLIER NETWORK EFFECT</t>
  </si>
  <si>
    <t xml:space="preserve">Step 4.1</t>
  </si>
  <si>
    <t xml:space="preserve">When onboarding a new client, search Supplier Bank first. If supplier exists — reuse data, update spend only.</t>
  </si>
  <si>
    <t xml:space="preserve">Step 4.2</t>
  </si>
  <si>
    <t xml:space="preserve">Track 'supplier coverage' metric: % of client's spend covered by verified bank records (target: &gt;70%).</t>
  </si>
  <si>
    <t xml:space="preserve">Step 4.3</t>
  </si>
  <si>
    <t xml:space="preserve">Negotiate with large suppliers to submit data directly to your platform (one submission, many clients).</t>
  </si>
  <si>
    <t xml:space="preserve">Step 4.4</t>
  </si>
  <si>
    <t xml:space="preserve">Build a 'supplier verified' badge system — suppliers with verified records shared across 3+ clients get recognition.</t>
  </si>
  <si>
    <t xml:space="preserve">Step 4.5</t>
  </si>
  <si>
    <t xml:space="preserve">Offer clients a 'supplier decarbonisation programme' — your firm facilitates SBTi target-setting for their top 10 suppliers.</t>
  </si>
  <si>
    <t xml:space="preserve">HOW TO PITCH THIS TO CLIENTS</t>
  </si>
  <si>
    <t xml:space="preserve">Pitch 1</t>
  </si>
  <si>
    <t xml:space="preserve">SHARED INFRASTRUCTURE: 'You share suppliers with 20 other firms we work with. We've already collected their data — you benefit from Day 1.'</t>
  </si>
  <si>
    <t xml:space="preserve">Pitch 2</t>
  </si>
  <si>
    <t xml:space="preserve">REGULATORY: 'BRSR Core (SEBI) mandates Scope 3 Cat 1 for top 1000 listed companies from FY2023-24. We help you comply fast.'</t>
  </si>
  <si>
    <t xml:space="preserve">Pitch 3</t>
  </si>
  <si>
    <t xml:space="preserve">COMPETITIVE: 'Your Tier-1 customers (multinationals) are asking for your Scope 3 in procurement RFPs. Our bank gives you an answer.'</t>
  </si>
  <si>
    <t xml:space="preserve">Pitch 4</t>
  </si>
  <si>
    <t xml:space="preserve">FINANCIAL: 'SBTi-aligned companies have 18% lower cost of capital (MSCI 2023). This bank is your decarbonisation foundation.'</t>
  </si>
  <si>
    <t xml:space="preserve">Pitch 5</t>
  </si>
  <si>
    <t xml:space="preserve">EFFICIENCY: 'Instead of hiring 3 FTEs to chase 150 suppliers annually, our bank reduces effort by 60% through shared data.'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</si>
</sst>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0"/>
    <numFmt numFmtId="166" formatCode="0%"/>
    <numFmt numFmtId="167" formatCode="#,##0.00"/>
    <numFmt numFmtId="168" formatCode="#,##0"/>
    <numFmt numFmtId="169" formatCode="0.0%"/>
    <numFmt numFmtId="170" formatCode="\+0.0%;\-0.0%;\-"/>
    <numFmt numFmtId="171" formatCode="0"/>
    <numFmt numFmtId="172" formatCode="0.000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D3D3A"/>
      <name val="Arial"/>
      <family val="0"/>
      <charset val="1"/>
    </font>
    <font>
      <b val="true"/>
      <sz val="9"/>
      <color rgb="FF1A473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3D3D3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8"/>
      <color rgb="FFC47B1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2D7D52"/>
      <name val="Arial"/>
      <family val="0"/>
      <charset val="1"/>
    </font>
    <font>
      <i val="true"/>
      <sz val="9"/>
      <color rgb="FF8A8A85"/>
      <name val="Arial"/>
      <family val="0"/>
      <charset val="1"/>
    </font>
    <font>
      <i val="true"/>
      <sz val="8"/>
      <color rgb="FF8A8A85"/>
      <name val="Arial"/>
      <family val="0"/>
      <charset val="1"/>
    </font>
    <font>
      <sz val="9"/>
      <color rgb="FF8A8A85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9"/>
      <color rgb="FF2D7D52"/>
      <name val="Arial"/>
      <family val="0"/>
      <charset val="1"/>
    </font>
    <font>
      <b val="true"/>
      <sz val="9"/>
      <color rgb="FF854F0B"/>
      <name val="Arial"/>
      <family val="0"/>
      <charset val="1"/>
    </font>
    <font>
      <sz val="9"/>
      <color rgb="FF1A4731"/>
      <name val="Arial"/>
      <family val="0"/>
      <charset val="1"/>
    </font>
    <font>
      <sz val="9"/>
      <color rgb="FF1E3A5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3D3D3A"/>
      <name val="Arial"/>
      <family val="0"/>
      <charset val="1"/>
    </font>
    <font>
      <b val="true"/>
      <sz val="9"/>
      <color rgb="FFA32D2D"/>
      <name val="Arial"/>
      <family val="0"/>
      <charset val="1"/>
    </font>
    <font>
      <sz val="9"/>
      <color rgb="FFC47B1A"/>
      <name val="Arial"/>
      <family val="0"/>
      <charset val="1"/>
    </font>
    <font>
      <sz val="9"/>
      <color rgb="FFA32D2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2D7D52"/>
      <name val="Arial"/>
      <family val="0"/>
      <charset val="1"/>
    </font>
    <font>
      <b val="true"/>
      <sz val="10"/>
      <color rgb="FFC47B1A"/>
      <name val="Arial"/>
      <family val="0"/>
      <charset val="1"/>
    </font>
    <font>
      <b val="true"/>
      <sz val="10"/>
      <color rgb="FFA32D2D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4731"/>
        <bgColor rgb="FF1E3A5F"/>
      </patternFill>
    </fill>
    <fill>
      <patternFill patternType="solid">
        <fgColor rgb="FF2D7D52"/>
        <bgColor rgb="FF008080"/>
      </patternFill>
    </fill>
    <fill>
      <patternFill patternType="solid">
        <fgColor rgb="FF1E3A5F"/>
        <bgColor rgb="FF1A4731"/>
      </patternFill>
    </fill>
    <fill>
      <patternFill patternType="solid">
        <fgColor rgb="FFF0FAF5"/>
        <bgColor rgb="FFFFFFFF"/>
      </patternFill>
    </fill>
    <fill>
      <patternFill patternType="solid">
        <fgColor rgb="FFFFFFFF"/>
        <bgColor rgb="FFF0FAF5"/>
      </patternFill>
    </fill>
    <fill>
      <patternFill patternType="solid">
        <fgColor rgb="FFFFF3CD"/>
        <bgColor rgb="FFFDECEA"/>
      </patternFill>
    </fill>
    <fill>
      <patternFill patternType="solid">
        <fgColor rgb="FFD0E8F8"/>
        <bgColor rgb="FFD6F0E0"/>
      </patternFill>
    </fill>
    <fill>
      <patternFill patternType="solid">
        <fgColor rgb="FFD6F0E0"/>
        <bgColor rgb="FFD0E8F8"/>
      </patternFill>
    </fill>
    <fill>
      <patternFill patternType="solid">
        <fgColor rgb="FFFF0000"/>
        <bgColor rgb="FFA32D2D"/>
      </patternFill>
    </fill>
    <fill>
      <patternFill patternType="solid">
        <fgColor rgb="FFFDECEA"/>
        <bgColor rgb="FFFFF3CD"/>
      </patternFill>
    </fill>
    <fill>
      <patternFill patternType="solid">
        <fgColor rgb="FFC47B1A"/>
        <bgColor rgb="FFFF9900"/>
      </patternFill>
    </fill>
    <fill>
      <patternFill patternType="solid">
        <fgColor rgb="FFA32D2D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08080"/>
      <rgbColor rgb="FFCCCCCC"/>
      <rgbColor rgb="FF8A8A85"/>
      <rgbColor rgb="FF9999FF"/>
      <rgbColor rgb="FF993366"/>
      <rgbColor rgb="FFFFF3CD"/>
      <rgbColor rgb="FFD0E8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AF5"/>
      <rgbColor rgb="FFD6F0E0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7B1A"/>
      <rgbColor rgb="FF666699"/>
      <rgbColor rgb="FF969696"/>
      <rgbColor rgb="FF1E3A5F"/>
      <rgbColor rgb="FF2D7D52"/>
      <rgbColor rgb="FF003300"/>
      <rgbColor rgb="FF1A4731"/>
      <rgbColor rgb="FFA32D2D"/>
      <rgbColor rgb="FF993366"/>
      <rgbColor rgb="FF333399"/>
      <rgbColor rgb="FF3D3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12" min="6" style="1" width="5"/>
    <col collapsed="false" customWidth="true" hidden="false" outlineLevel="0" max="26" min="13" style="1" width="8.71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.7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7.5" hidden="false" customHeight="true" outlineLevel="0" collapsed="false"/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36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9" customFormat="false" ht="27.75" hidden="false" customHeight="true" outlineLevel="0" collapsed="false">
      <c r="A9" s="6" t="s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36" hidden="false" customHeight="true" outlineLevel="0" collapsed="false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2" customFormat="false" ht="27.75" hidden="false" customHeight="true" outlineLevel="0" collapsed="false">
      <c r="A12" s="6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36" hidden="false" customHeight="true" outlineLevel="0" collapsed="false">
      <c r="A13" s="5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5" customFormat="false" ht="27.75" hidden="false" customHeight="true" outlineLevel="0" collapsed="false">
      <c r="A15" s="6" t="s">
        <v>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36" hidden="false" customHeight="true" outlineLevel="0" collapsed="false">
      <c r="A16" s="5" t="s">
        <v>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8" customFormat="false" ht="7.5" hidden="false" customHeight="true" outlineLevel="0" collapsed="false"/>
    <row r="19" customFormat="false" ht="15" hidden="false" customHeight="true" outlineLevel="0" collapsed="false">
      <c r="A19" s="4" t="s">
        <v>10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true" outlineLevel="0" collapsed="false">
      <c r="A20" s="7" t="s">
        <v>11</v>
      </c>
      <c r="B20" s="7" t="s">
        <v>12</v>
      </c>
      <c r="C20" s="7" t="s">
        <v>13</v>
      </c>
      <c r="D20" s="7" t="s">
        <v>14</v>
      </c>
      <c r="E20" s="7" t="s">
        <v>15</v>
      </c>
    </row>
    <row r="21" customFormat="false" ht="21.75" hidden="false" customHeight="true" outlineLevel="0" collapsed="false">
      <c r="A21" s="8" t="s">
        <v>16</v>
      </c>
      <c r="B21" s="8" t="s">
        <v>17</v>
      </c>
      <c r="C21" s="8" t="s">
        <v>18</v>
      </c>
      <c r="D21" s="8" t="s">
        <v>19</v>
      </c>
      <c r="E21" s="8" t="s">
        <v>20</v>
      </c>
    </row>
    <row r="22" customFormat="false" ht="21.75" hidden="false" customHeight="true" outlineLevel="0" collapsed="false">
      <c r="A22" s="9" t="s">
        <v>21</v>
      </c>
      <c r="B22" s="9" t="s">
        <v>22</v>
      </c>
      <c r="C22" s="9" t="s">
        <v>23</v>
      </c>
      <c r="D22" s="9" t="s">
        <v>24</v>
      </c>
      <c r="E22" s="9" t="s">
        <v>20</v>
      </c>
    </row>
    <row r="23" customFormat="false" ht="21.75" hidden="false" customHeight="true" outlineLevel="0" collapsed="false">
      <c r="A23" s="8" t="s">
        <v>25</v>
      </c>
      <c r="B23" s="8" t="s">
        <v>26</v>
      </c>
      <c r="C23" s="8" t="s">
        <v>27</v>
      </c>
      <c r="D23" s="8" t="s">
        <v>28</v>
      </c>
      <c r="E23" s="8" t="s">
        <v>29</v>
      </c>
    </row>
    <row r="24" customFormat="false" ht="21.75" hidden="false" customHeight="true" outlineLevel="0" collapsed="false">
      <c r="A24" s="9" t="s">
        <v>30</v>
      </c>
      <c r="B24" s="9" t="s">
        <v>31</v>
      </c>
      <c r="C24" s="9" t="s">
        <v>32</v>
      </c>
      <c r="D24" s="9" t="s">
        <v>33</v>
      </c>
      <c r="E24" s="9" t="s">
        <v>20</v>
      </c>
    </row>
    <row r="25" customFormat="false" ht="21.75" hidden="false" customHeight="true" outlineLevel="0" collapsed="false">
      <c r="A25" s="8" t="s">
        <v>34</v>
      </c>
      <c r="B25" s="8" t="s">
        <v>35</v>
      </c>
      <c r="C25" s="8" t="s">
        <v>36</v>
      </c>
      <c r="D25" s="8" t="s">
        <v>37</v>
      </c>
      <c r="E25" s="8" t="s">
        <v>29</v>
      </c>
    </row>
    <row r="26" customFormat="false" ht="21.75" hidden="false" customHeight="true" outlineLevel="0" collapsed="false">
      <c r="A26" s="9" t="s">
        <v>38</v>
      </c>
      <c r="B26" s="9" t="s">
        <v>39</v>
      </c>
      <c r="C26" s="9" t="s">
        <v>40</v>
      </c>
      <c r="D26" s="9" t="s">
        <v>41</v>
      </c>
      <c r="E26" s="9" t="s">
        <v>29</v>
      </c>
    </row>
    <row r="27" customFormat="false" ht="21.75" hidden="false" customHeight="true" outlineLevel="0" collapsed="false">
      <c r="A27" s="8" t="s">
        <v>42</v>
      </c>
      <c r="B27" s="8" t="s">
        <v>43</v>
      </c>
      <c r="C27" s="8" t="s">
        <v>44</v>
      </c>
      <c r="D27" s="8" t="s">
        <v>45</v>
      </c>
      <c r="E27" s="8" t="s">
        <v>29</v>
      </c>
    </row>
    <row r="28" customFormat="false" ht="21.75" hidden="false" customHeight="true" outlineLevel="0" collapsed="false">
      <c r="A28" s="9" t="s">
        <v>46</v>
      </c>
      <c r="B28" s="9" t="s">
        <v>47</v>
      </c>
      <c r="C28" s="9" t="s">
        <v>48</v>
      </c>
      <c r="D28" s="9" t="s">
        <v>24</v>
      </c>
      <c r="E28" s="9" t="s">
        <v>29</v>
      </c>
    </row>
    <row r="29" customFormat="false" ht="21.75" hidden="false" customHeight="true" outlineLevel="0" collapsed="false">
      <c r="A29" s="8" t="s">
        <v>49</v>
      </c>
      <c r="B29" s="8" t="s">
        <v>50</v>
      </c>
      <c r="C29" s="8" t="s">
        <v>51</v>
      </c>
      <c r="D29" s="8" t="s">
        <v>33</v>
      </c>
      <c r="E29" s="8" t="s">
        <v>20</v>
      </c>
    </row>
    <row r="30" customFormat="false" ht="21.75" hidden="false" customHeight="true" outlineLevel="0" collapsed="false">
      <c r="A30" s="9" t="s">
        <v>52</v>
      </c>
      <c r="B30" s="9" t="s">
        <v>53</v>
      </c>
      <c r="C30" s="9" t="s">
        <v>54</v>
      </c>
      <c r="D30" s="9" t="s">
        <v>55</v>
      </c>
      <c r="E30" s="9" t="s">
        <v>20</v>
      </c>
    </row>
    <row r="31" customFormat="false" ht="21.75" hidden="false" customHeight="true" outlineLevel="0" collapsed="false">
      <c r="A31" s="8" t="s">
        <v>56</v>
      </c>
      <c r="B31" s="8" t="s">
        <v>57</v>
      </c>
      <c r="C31" s="8" t="s">
        <v>58</v>
      </c>
      <c r="D31" s="8" t="s">
        <v>59</v>
      </c>
      <c r="E31" s="8" t="s">
        <v>29</v>
      </c>
    </row>
    <row r="32" customFormat="false" ht="21.75" hidden="false" customHeight="true" outlineLevel="0" collapsed="false">
      <c r="A32" s="9" t="s">
        <v>60</v>
      </c>
      <c r="B32" s="9" t="s">
        <v>61</v>
      </c>
      <c r="C32" s="9" t="s">
        <v>62</v>
      </c>
      <c r="D32" s="9" t="s">
        <v>63</v>
      </c>
      <c r="E32" s="9" t="s">
        <v>29</v>
      </c>
    </row>
    <row r="33" customFormat="false" ht="21.75" hidden="false" customHeight="true" outlineLevel="0" collapsed="false">
      <c r="A33" s="8" t="s">
        <v>64</v>
      </c>
      <c r="B33" s="8" t="s">
        <v>65</v>
      </c>
      <c r="C33" s="8" t="s">
        <v>66</v>
      </c>
      <c r="D33" s="8" t="s">
        <v>24</v>
      </c>
      <c r="E33" s="8" t="s">
        <v>29</v>
      </c>
    </row>
    <row r="34" customFormat="false" ht="21.75" hidden="false" customHeight="true" outlineLevel="0" collapsed="false">
      <c r="A34" s="9" t="s">
        <v>67</v>
      </c>
      <c r="B34" s="9" t="s">
        <v>68</v>
      </c>
      <c r="C34" s="9" t="s">
        <v>69</v>
      </c>
      <c r="D34" s="9" t="s">
        <v>70</v>
      </c>
      <c r="E34" s="9" t="s">
        <v>29</v>
      </c>
    </row>
    <row r="35" customFormat="false" ht="21.75" hidden="false" customHeight="true" outlineLevel="0" collapsed="false">
      <c r="A35" s="8" t="s">
        <v>71</v>
      </c>
      <c r="B35" s="8" t="s">
        <v>72</v>
      </c>
      <c r="C35" s="8" t="s">
        <v>73</v>
      </c>
      <c r="D35" s="8" t="s">
        <v>74</v>
      </c>
      <c r="E35" s="8" t="s">
        <v>29</v>
      </c>
    </row>
    <row r="36" customFormat="false" ht="21.75" hidden="false" customHeight="true" outlineLevel="0" collapsed="false">
      <c r="A36" s="9" t="s">
        <v>20</v>
      </c>
      <c r="B36" s="9" t="s">
        <v>75</v>
      </c>
      <c r="C36" s="9" t="s">
        <v>76</v>
      </c>
      <c r="D36" s="9" t="s">
        <v>77</v>
      </c>
      <c r="E36" s="9" t="s">
        <v>78</v>
      </c>
    </row>
    <row r="37" customFormat="false" ht="21.75" hidden="false" customHeight="true" outlineLevel="0" collapsed="false">
      <c r="A37" s="8" t="s">
        <v>79</v>
      </c>
      <c r="B37" s="8" t="s">
        <v>80</v>
      </c>
      <c r="C37" s="8" t="s">
        <v>76</v>
      </c>
      <c r="D37" s="8" t="s">
        <v>81</v>
      </c>
      <c r="E37" s="8" t="s">
        <v>20</v>
      </c>
    </row>
    <row r="38" customFormat="false" ht="21.75" hidden="false" customHeight="true" outlineLevel="0" collapsed="false">
      <c r="A38" s="9" t="s">
        <v>82</v>
      </c>
      <c r="B38" s="9" t="s">
        <v>83</v>
      </c>
      <c r="C38" s="9" t="s">
        <v>76</v>
      </c>
      <c r="D38" s="9" t="s">
        <v>84</v>
      </c>
      <c r="E38" s="9" t="s">
        <v>29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A1:L3"/>
    <mergeCell ref="A4:L4"/>
    <mergeCell ref="A6:L6"/>
    <mergeCell ref="A7:L7"/>
    <mergeCell ref="A9:L9"/>
    <mergeCell ref="A10:L10"/>
    <mergeCell ref="A12:L12"/>
    <mergeCell ref="A13:L13"/>
    <mergeCell ref="A15:L15"/>
    <mergeCell ref="A16:L16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8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4" min="11" style="1" width="22"/>
    <col collapsed="false" customWidth="true" hidden="false" outlineLevel="0" max="16" min="15" style="1" width="12"/>
    <col collapsed="false" customWidth="true" hidden="false" outlineLevel="0" max="17" min="17" style="1" width="16.14"/>
    <col collapsed="false" customWidth="true" hidden="false" outlineLevel="0" max="19" min="18" style="1" width="12"/>
    <col collapsed="false" customWidth="true" hidden="false" outlineLevel="0" max="20" min="20" style="1" width="21.29"/>
    <col collapsed="false" customWidth="true" hidden="false" outlineLevel="0" max="21" min="21" style="1" width="12"/>
    <col collapsed="false" customWidth="true" hidden="false" outlineLevel="0" max="26" min="22" style="1" width="8.71"/>
  </cols>
  <sheetData>
    <row r="1" customFormat="false" ht="27.75" hidden="false" customHeight="true" outlineLevel="0" collapsed="false">
      <c r="A1" s="10" t="s">
        <v>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customFormat="false" ht="30" hidden="false" customHeight="true" outlineLevel="0" collapsed="false">
      <c r="A2" s="11" t="s">
        <v>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88</v>
      </c>
      <c r="B5" s="13" t="s">
        <v>89</v>
      </c>
      <c r="C5" s="13" t="s">
        <v>90</v>
      </c>
      <c r="D5" s="13" t="s">
        <v>91</v>
      </c>
      <c r="E5" s="13" t="s">
        <v>92</v>
      </c>
      <c r="F5" s="13" t="s">
        <v>93</v>
      </c>
      <c r="G5" s="13" t="s">
        <v>94</v>
      </c>
      <c r="H5" s="13" t="s">
        <v>95</v>
      </c>
      <c r="I5" s="13" t="s">
        <v>96</v>
      </c>
      <c r="J5" s="13" t="s">
        <v>97</v>
      </c>
      <c r="K5" s="13" t="s">
        <v>98</v>
      </c>
    </row>
    <row r="6" customFormat="false" ht="18" hidden="false" customHeight="true" outlineLevel="0" collapsed="false">
      <c r="A6" s="14" t="s">
        <v>99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customFormat="false" ht="19.5" hidden="false" customHeight="true" outlineLevel="0" collapsed="false">
      <c r="A7" s="15" t="s">
        <v>100</v>
      </c>
      <c r="B7" s="15" t="s">
        <v>101</v>
      </c>
      <c r="C7" s="15" t="s">
        <v>102</v>
      </c>
      <c r="D7" s="15" t="n">
        <v>2.1</v>
      </c>
      <c r="E7" s="15" t="n">
        <v>0.035</v>
      </c>
      <c r="F7" s="16"/>
      <c r="G7" s="16"/>
      <c r="H7" s="17" t="n">
        <f aca="false">IFERROR(IF(F7&gt;0,F7*D7,IF(G7&gt;0,G7*E7,0)),0)</f>
        <v>0</v>
      </c>
      <c r="I7" s="18" t="s">
        <v>103</v>
      </c>
      <c r="J7" s="18" t="s">
        <v>104</v>
      </c>
      <c r="K7" s="19" t="s">
        <v>105</v>
      </c>
    </row>
    <row r="8" customFormat="false" ht="19.5" hidden="false" customHeight="true" outlineLevel="0" collapsed="false">
      <c r="A8" s="20" t="s">
        <v>100</v>
      </c>
      <c r="B8" s="20" t="s">
        <v>106</v>
      </c>
      <c r="C8" s="20" t="s">
        <v>102</v>
      </c>
      <c r="D8" s="20" t="n">
        <v>2.2</v>
      </c>
      <c r="E8" s="20" t="n">
        <v>0.036</v>
      </c>
      <c r="F8" s="16"/>
      <c r="G8" s="16"/>
      <c r="H8" s="17" t="n">
        <f aca="false">IFERROR(IF(F8&gt;0,F8*D8,IF(G8&gt;0,G8*E8,0)),0)</f>
        <v>0</v>
      </c>
      <c r="I8" s="21" t="s">
        <v>103</v>
      </c>
      <c r="J8" s="21" t="s">
        <v>104</v>
      </c>
      <c r="K8" s="22" t="s">
        <v>107</v>
      </c>
    </row>
    <row r="9" customFormat="false" ht="19.5" hidden="false" customHeight="true" outlineLevel="0" collapsed="false">
      <c r="A9" s="15" t="s">
        <v>100</v>
      </c>
      <c r="B9" s="15" t="s">
        <v>108</v>
      </c>
      <c r="C9" s="15" t="s">
        <v>102</v>
      </c>
      <c r="D9" s="15" t="n">
        <v>2.08</v>
      </c>
      <c r="E9" s="15" t="n">
        <v>0.034</v>
      </c>
      <c r="F9" s="16"/>
      <c r="G9" s="16"/>
      <c r="H9" s="17" t="n">
        <f aca="false">IFERROR(IF(F9&gt;0,F9*D9,IF(G9&gt;0,G9*E9,0)),0)</f>
        <v>0</v>
      </c>
      <c r="I9" s="18" t="s">
        <v>103</v>
      </c>
      <c r="J9" s="18" t="s">
        <v>104</v>
      </c>
      <c r="K9" s="19" t="s">
        <v>109</v>
      </c>
    </row>
    <row r="10" customFormat="false" ht="19.5" hidden="false" customHeight="true" outlineLevel="0" collapsed="false">
      <c r="A10" s="20" t="s">
        <v>100</v>
      </c>
      <c r="B10" s="20" t="s">
        <v>110</v>
      </c>
      <c r="C10" s="20" t="s">
        <v>102</v>
      </c>
      <c r="D10" s="20" t="n">
        <v>6.15</v>
      </c>
      <c r="E10" s="20" t="n">
        <v>0.095</v>
      </c>
      <c r="F10" s="16"/>
      <c r="G10" s="16"/>
      <c r="H10" s="17" t="n">
        <f aca="false">IFERROR(IF(F10&gt;0,F10*D10,IF(G10&gt;0,G10*E10,0)),0)</f>
        <v>0</v>
      </c>
      <c r="I10" s="21" t="s">
        <v>103</v>
      </c>
      <c r="J10" s="21" t="s">
        <v>111</v>
      </c>
      <c r="K10" s="22" t="s">
        <v>112</v>
      </c>
    </row>
    <row r="11" customFormat="false" ht="19.5" hidden="false" customHeight="true" outlineLevel="0" collapsed="false">
      <c r="A11" s="15" t="s">
        <v>100</v>
      </c>
      <c r="B11" s="15" t="s">
        <v>113</v>
      </c>
      <c r="C11" s="15" t="s">
        <v>102</v>
      </c>
      <c r="D11" s="15" t="n">
        <v>2.15</v>
      </c>
      <c r="E11" s="15" t="n">
        <v>0.035</v>
      </c>
      <c r="F11" s="16"/>
      <c r="G11" s="16"/>
      <c r="H11" s="17" t="n">
        <f aca="false">IFERROR(IF(F11&gt;0,F11*D11,IF(G11&gt;0,G11*E11,0)),0)</f>
        <v>0</v>
      </c>
      <c r="I11" s="18" t="s">
        <v>103</v>
      </c>
      <c r="J11" s="18" t="s">
        <v>104</v>
      </c>
      <c r="K11" s="19" t="s">
        <v>114</v>
      </c>
    </row>
    <row r="12" customFormat="false" ht="19.5" hidden="false" customHeight="true" outlineLevel="0" collapsed="false">
      <c r="A12" s="20" t="s">
        <v>100</v>
      </c>
      <c r="B12" s="20" t="s">
        <v>115</v>
      </c>
      <c r="C12" s="20" t="s">
        <v>102</v>
      </c>
      <c r="D12" s="20" t="n">
        <v>2.45</v>
      </c>
      <c r="E12" s="20" t="n">
        <v>0.04</v>
      </c>
      <c r="F12" s="16"/>
      <c r="G12" s="16"/>
      <c r="H12" s="17" t="n">
        <f aca="false">IFERROR(IF(F12&gt;0,F12*D12,IF(G12&gt;0,G12*E12,0)),0)</f>
        <v>0</v>
      </c>
      <c r="I12" s="21" t="s">
        <v>103</v>
      </c>
      <c r="J12" s="21" t="s">
        <v>104</v>
      </c>
      <c r="K12" s="22" t="s">
        <v>116</v>
      </c>
    </row>
    <row r="13" customFormat="false" ht="19.5" hidden="false" customHeight="true" outlineLevel="0" collapsed="false">
      <c r="A13" s="15" t="s">
        <v>100</v>
      </c>
      <c r="B13" s="15" t="s">
        <v>117</v>
      </c>
      <c r="C13" s="15" t="s">
        <v>102</v>
      </c>
      <c r="D13" s="15" t="n">
        <v>16.5</v>
      </c>
      <c r="E13" s="15" t="n">
        <v>0.25</v>
      </c>
      <c r="F13" s="16"/>
      <c r="G13" s="16"/>
      <c r="H13" s="17" t="n">
        <f aca="false">IFERROR(IF(F13&gt;0,F13*D13,IF(G13&gt;0,G13*E13,0)),0)</f>
        <v>0</v>
      </c>
      <c r="I13" s="18" t="s">
        <v>103</v>
      </c>
      <c r="J13" s="18" t="s">
        <v>118</v>
      </c>
      <c r="K13" s="19" t="s">
        <v>119</v>
      </c>
    </row>
    <row r="14" customFormat="false" ht="19.5" hidden="false" customHeight="true" outlineLevel="0" collapsed="false">
      <c r="A14" s="20" t="s">
        <v>100</v>
      </c>
      <c r="B14" s="20" t="s">
        <v>120</v>
      </c>
      <c r="C14" s="20" t="s">
        <v>102</v>
      </c>
      <c r="D14" s="20" t="n">
        <v>0.5</v>
      </c>
      <c r="E14" s="20" t="n">
        <v>0.01</v>
      </c>
      <c r="F14" s="16"/>
      <c r="G14" s="16"/>
      <c r="H14" s="17" t="n">
        <f aca="false">IFERROR(IF(F14&gt;0,F14*D14,IF(G14&gt;0,G14*E14,0)),0)</f>
        <v>0</v>
      </c>
      <c r="I14" s="21" t="s">
        <v>103</v>
      </c>
      <c r="J14" s="21" t="s">
        <v>118</v>
      </c>
      <c r="K14" s="22" t="s">
        <v>121</v>
      </c>
    </row>
    <row r="15" customFormat="false" ht="19.5" hidden="false" customHeight="true" outlineLevel="0" collapsed="false">
      <c r="A15" s="15" t="s">
        <v>100</v>
      </c>
      <c r="B15" s="15" t="s">
        <v>122</v>
      </c>
      <c r="C15" s="15" t="s">
        <v>102</v>
      </c>
      <c r="D15" s="15" t="n">
        <v>8.2</v>
      </c>
      <c r="E15" s="15" t="n">
        <v>0.13</v>
      </c>
      <c r="F15" s="16"/>
      <c r="G15" s="16"/>
      <c r="H15" s="17" t="n">
        <f aca="false">IFERROR(IF(F15&gt;0,F15*D15,IF(G15&gt;0,G15*E15,0)),0)</f>
        <v>0</v>
      </c>
      <c r="I15" s="18" t="s">
        <v>103</v>
      </c>
      <c r="J15" s="18" t="s">
        <v>118</v>
      </c>
      <c r="K15" s="19" t="s">
        <v>123</v>
      </c>
    </row>
    <row r="16" customFormat="false" ht="19.5" hidden="false" customHeight="true" outlineLevel="0" collapsed="false">
      <c r="A16" s="20" t="s">
        <v>100</v>
      </c>
      <c r="B16" s="20" t="s">
        <v>124</v>
      </c>
      <c r="C16" s="20" t="s">
        <v>102</v>
      </c>
      <c r="D16" s="20" t="n">
        <v>3.2</v>
      </c>
      <c r="E16" s="20" t="n">
        <v>0.055</v>
      </c>
      <c r="F16" s="16"/>
      <c r="G16" s="16"/>
      <c r="H16" s="17" t="n">
        <f aca="false">IFERROR(IF(F16&gt;0,F16*D16,IF(G16&gt;0,G16*E16,0)),0)</f>
        <v>0</v>
      </c>
      <c r="I16" s="21" t="s">
        <v>103</v>
      </c>
      <c r="J16" s="21" t="s">
        <v>125</v>
      </c>
      <c r="K16" s="22" t="s">
        <v>126</v>
      </c>
    </row>
    <row r="17" customFormat="false" ht="19.5" hidden="false" customHeight="true" outlineLevel="0" collapsed="false">
      <c r="A17" s="15" t="s">
        <v>100</v>
      </c>
      <c r="B17" s="15" t="s">
        <v>127</v>
      </c>
      <c r="C17" s="15" t="s">
        <v>102</v>
      </c>
      <c r="D17" s="15" t="n">
        <v>3.4</v>
      </c>
      <c r="E17" s="15" t="n">
        <v>0.058</v>
      </c>
      <c r="F17" s="16"/>
      <c r="G17" s="16"/>
      <c r="H17" s="17" t="n">
        <f aca="false">IFERROR(IF(F17&gt;0,F17*D17,IF(G17&gt;0,G17*E17,0)),0)</f>
        <v>0</v>
      </c>
      <c r="I17" s="18" t="s">
        <v>103</v>
      </c>
      <c r="J17" s="18" t="s">
        <v>125</v>
      </c>
      <c r="K17" s="19" t="s">
        <v>128</v>
      </c>
    </row>
    <row r="18" customFormat="false" ht="19.5" hidden="false" customHeight="true" outlineLevel="0" collapsed="false">
      <c r="A18" s="20" t="s">
        <v>100</v>
      </c>
      <c r="B18" s="20" t="s">
        <v>129</v>
      </c>
      <c r="C18" s="20" t="s">
        <v>102</v>
      </c>
      <c r="D18" s="20" t="n">
        <v>3.9</v>
      </c>
      <c r="E18" s="20" t="n">
        <v>0.065</v>
      </c>
      <c r="F18" s="16"/>
      <c r="G18" s="16"/>
      <c r="H18" s="17" t="n">
        <f aca="false">IFERROR(IF(F18&gt;0,F18*D18,IF(G18&gt;0,G18*E18,0)),0)</f>
        <v>0</v>
      </c>
      <c r="I18" s="21" t="s">
        <v>103</v>
      </c>
      <c r="J18" s="21" t="s">
        <v>130</v>
      </c>
      <c r="K18" s="22" t="s">
        <v>131</v>
      </c>
    </row>
    <row r="19" customFormat="false" ht="19.5" hidden="false" customHeight="true" outlineLevel="0" collapsed="false">
      <c r="A19" s="15" t="s">
        <v>100</v>
      </c>
      <c r="B19" s="15" t="s">
        <v>132</v>
      </c>
      <c r="C19" s="15" t="s">
        <v>102</v>
      </c>
      <c r="D19" s="15" t="n">
        <v>1.7</v>
      </c>
      <c r="E19" s="15" t="n">
        <v>0.03</v>
      </c>
      <c r="F19" s="16"/>
      <c r="G19" s="16"/>
      <c r="H19" s="17" t="n">
        <f aca="false">IFERROR(IF(F19&gt;0,F19*D19,IF(G19&gt;0,G19*E19,0)),0)</f>
        <v>0</v>
      </c>
      <c r="I19" s="18" t="s">
        <v>103</v>
      </c>
      <c r="J19" s="18" t="s">
        <v>133</v>
      </c>
      <c r="K19" s="19" t="s">
        <v>134</v>
      </c>
    </row>
    <row r="20" customFormat="false" ht="19.5" hidden="false" customHeight="true" outlineLevel="0" collapsed="false">
      <c r="A20" s="20" t="s">
        <v>100</v>
      </c>
      <c r="B20" s="20" t="s">
        <v>135</v>
      </c>
      <c r="C20" s="20" t="s">
        <v>102</v>
      </c>
      <c r="D20" s="20" t="n">
        <v>2.5</v>
      </c>
      <c r="E20" s="20" t="n">
        <v>0.042</v>
      </c>
      <c r="F20" s="16"/>
      <c r="G20" s="16"/>
      <c r="H20" s="17" t="n">
        <f aca="false">IFERROR(IF(F20&gt;0,F20*D20,IF(G20&gt;0,G20*E20,0)),0)</f>
        <v>0</v>
      </c>
      <c r="I20" s="21" t="s">
        <v>103</v>
      </c>
      <c r="J20" s="21" t="s">
        <v>136</v>
      </c>
      <c r="K20" s="22" t="s">
        <v>137</v>
      </c>
    </row>
    <row r="21" customFormat="false" ht="18" hidden="false" customHeight="true" outlineLevel="0" collapsed="false">
      <c r="A21" s="14" t="s">
        <v>138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customFormat="false" ht="19.5" hidden="false" customHeight="true" outlineLevel="0" collapsed="false">
      <c r="A22" s="15" t="s">
        <v>139</v>
      </c>
      <c r="B22" s="15" t="s">
        <v>140</v>
      </c>
      <c r="C22" s="15" t="s">
        <v>102</v>
      </c>
      <c r="D22" s="15" t="n">
        <v>1.5</v>
      </c>
      <c r="E22" s="15" t="n">
        <v>0.028</v>
      </c>
      <c r="F22" s="16"/>
      <c r="G22" s="16"/>
      <c r="H22" s="17" t="n">
        <f aca="false">IFERROR(IF(F22&gt;0,F22*D22,IF(G22&gt;0,G22*E22,0)),0)</f>
        <v>0</v>
      </c>
      <c r="I22" s="18" t="s">
        <v>103</v>
      </c>
      <c r="J22" s="18" t="s">
        <v>141</v>
      </c>
      <c r="K22" s="19" t="s">
        <v>142</v>
      </c>
    </row>
    <row r="23" customFormat="false" ht="19.5" hidden="false" customHeight="true" outlineLevel="0" collapsed="false">
      <c r="A23" s="20" t="s">
        <v>139</v>
      </c>
      <c r="B23" s="20" t="s">
        <v>143</v>
      </c>
      <c r="C23" s="20" t="s">
        <v>102</v>
      </c>
      <c r="D23" s="20" t="n">
        <v>1.8</v>
      </c>
      <c r="E23" s="20" t="n">
        <v>0.032</v>
      </c>
      <c r="F23" s="16"/>
      <c r="G23" s="16"/>
      <c r="H23" s="17" t="n">
        <f aca="false">IFERROR(IF(F23&gt;0,F23*D23,IF(G23&gt;0,G23*E23,0)),0)</f>
        <v>0</v>
      </c>
      <c r="I23" s="21" t="s">
        <v>103</v>
      </c>
      <c r="J23" s="21" t="s">
        <v>141</v>
      </c>
      <c r="K23" s="22" t="s">
        <v>144</v>
      </c>
    </row>
    <row r="24" customFormat="false" ht="19.5" hidden="false" customHeight="true" outlineLevel="0" collapsed="false">
      <c r="A24" s="15" t="s">
        <v>139</v>
      </c>
      <c r="B24" s="15" t="s">
        <v>145</v>
      </c>
      <c r="C24" s="15" t="s">
        <v>102</v>
      </c>
      <c r="D24" s="15" t="n">
        <v>0.45</v>
      </c>
      <c r="E24" s="15" t="n">
        <v>0.012</v>
      </c>
      <c r="F24" s="16"/>
      <c r="G24" s="16"/>
      <c r="H24" s="17" t="n">
        <f aca="false">IFERROR(IF(F24&gt;0,F24*D24,IF(G24&gt;0,G24*E24,0)),0)</f>
        <v>0</v>
      </c>
      <c r="I24" s="18" t="s">
        <v>103</v>
      </c>
      <c r="J24" s="18" t="s">
        <v>136</v>
      </c>
      <c r="K24" s="19" t="s">
        <v>146</v>
      </c>
    </row>
    <row r="25" customFormat="false" ht="19.5" hidden="false" customHeight="true" outlineLevel="0" collapsed="false">
      <c r="A25" s="20" t="s">
        <v>139</v>
      </c>
      <c r="B25" s="20" t="s">
        <v>147</v>
      </c>
      <c r="C25" s="20" t="s">
        <v>148</v>
      </c>
      <c r="D25" s="20" t="s">
        <v>149</v>
      </c>
      <c r="E25" s="20" t="n">
        <v>0.033</v>
      </c>
      <c r="F25" s="16"/>
      <c r="G25" s="16"/>
      <c r="H25" s="17" t="n">
        <f aca="false">IFERROR(IF(F25&gt;0,F25*D25,IF(G25&gt;0,G25*E25,0)),0)</f>
        <v>0</v>
      </c>
      <c r="I25" s="21" t="s">
        <v>150</v>
      </c>
      <c r="J25" s="21" t="s">
        <v>151</v>
      </c>
      <c r="K25" s="22" t="s">
        <v>152</v>
      </c>
    </row>
    <row r="26" customFormat="false" ht="19.5" hidden="false" customHeight="true" outlineLevel="0" collapsed="false">
      <c r="A26" s="15" t="s">
        <v>139</v>
      </c>
      <c r="B26" s="15" t="s">
        <v>153</v>
      </c>
      <c r="C26" s="15" t="s">
        <v>102</v>
      </c>
      <c r="D26" s="15" t="n">
        <v>2</v>
      </c>
      <c r="E26" s="15" t="n">
        <v>0.038</v>
      </c>
      <c r="F26" s="16"/>
      <c r="G26" s="16"/>
      <c r="H26" s="17" t="n">
        <f aca="false">IFERROR(IF(F26&gt;0,F26*D26,IF(G26&gt;0,G26*E26,0)),0)</f>
        <v>0</v>
      </c>
      <c r="I26" s="18" t="s">
        <v>103</v>
      </c>
      <c r="J26" s="18" t="s">
        <v>154</v>
      </c>
      <c r="K26" s="19" t="s">
        <v>155</v>
      </c>
    </row>
    <row r="27" customFormat="false" ht="19.5" hidden="false" customHeight="true" outlineLevel="0" collapsed="false">
      <c r="A27" s="20" t="s">
        <v>139</v>
      </c>
      <c r="B27" s="20" t="s">
        <v>156</v>
      </c>
      <c r="C27" s="20" t="s">
        <v>102</v>
      </c>
      <c r="D27" s="20" t="n">
        <v>1.7</v>
      </c>
      <c r="E27" s="20" t="n">
        <v>0.032</v>
      </c>
      <c r="F27" s="16"/>
      <c r="G27" s="16"/>
      <c r="H27" s="17" t="n">
        <f aca="false">IFERROR(IF(F27&gt;0,F27*D27,IF(G27&gt;0,G27*E27,0)),0)</f>
        <v>0</v>
      </c>
      <c r="I27" s="21" t="s">
        <v>103</v>
      </c>
      <c r="J27" s="21" t="s">
        <v>154</v>
      </c>
      <c r="K27" s="22" t="s">
        <v>157</v>
      </c>
    </row>
    <row r="28" customFormat="false" ht="19.5" hidden="false" customHeight="true" outlineLevel="0" collapsed="false">
      <c r="A28" s="15" t="s">
        <v>139</v>
      </c>
      <c r="B28" s="15" t="s">
        <v>158</v>
      </c>
      <c r="C28" s="15" t="s">
        <v>102</v>
      </c>
      <c r="D28" s="15" t="n">
        <v>3.1</v>
      </c>
      <c r="E28" s="15" t="n">
        <v>0.055</v>
      </c>
      <c r="F28" s="16"/>
      <c r="G28" s="16"/>
      <c r="H28" s="17" t="n">
        <f aca="false">IFERROR(IF(F28&gt;0,F28*D28,IF(G28&gt;0,G28*E28,0)),0)</f>
        <v>0</v>
      </c>
      <c r="I28" s="18" t="s">
        <v>103</v>
      </c>
      <c r="J28" s="18" t="s">
        <v>154</v>
      </c>
      <c r="K28" s="19" t="s">
        <v>159</v>
      </c>
    </row>
    <row r="29" customFormat="false" ht="19.5" hidden="false" customHeight="true" outlineLevel="0" collapsed="false">
      <c r="A29" s="20" t="s">
        <v>139</v>
      </c>
      <c r="B29" s="20" t="s">
        <v>160</v>
      </c>
      <c r="C29" s="20" t="s">
        <v>102</v>
      </c>
      <c r="D29" s="20" t="n">
        <v>2.4</v>
      </c>
      <c r="E29" s="20" t="n">
        <v>0.044</v>
      </c>
      <c r="F29" s="16"/>
      <c r="G29" s="16"/>
      <c r="H29" s="17" t="n">
        <f aca="false">IFERROR(IF(F29&gt;0,F29*D29,IF(G29&gt;0,G29*E29,0)),0)</f>
        <v>0</v>
      </c>
      <c r="I29" s="21" t="s">
        <v>103</v>
      </c>
      <c r="J29" s="21" t="s">
        <v>154</v>
      </c>
      <c r="K29" s="22" t="s">
        <v>161</v>
      </c>
    </row>
    <row r="30" customFormat="false" ht="19.5" hidden="false" customHeight="true" outlineLevel="0" collapsed="false">
      <c r="A30" s="15" t="s">
        <v>139</v>
      </c>
      <c r="B30" s="15" t="s">
        <v>162</v>
      </c>
      <c r="C30" s="15" t="s">
        <v>102</v>
      </c>
      <c r="D30" s="15" t="n">
        <v>0.7</v>
      </c>
      <c r="E30" s="15" t="n">
        <v>0.015</v>
      </c>
      <c r="F30" s="16"/>
      <c r="G30" s="16"/>
      <c r="H30" s="17" t="n">
        <f aca="false">IFERROR(IF(F30&gt;0,F30*D30,IF(G30&gt;0,G30*E30,0)),0)</f>
        <v>0</v>
      </c>
      <c r="I30" s="18" t="s">
        <v>103</v>
      </c>
      <c r="J30" s="18" t="s">
        <v>163</v>
      </c>
      <c r="K30" s="19" t="s">
        <v>164</v>
      </c>
    </row>
    <row r="31" customFormat="false" ht="19.5" hidden="false" customHeight="true" outlineLevel="0" collapsed="false">
      <c r="A31" s="20" t="s">
        <v>139</v>
      </c>
      <c r="B31" s="20" t="s">
        <v>165</v>
      </c>
      <c r="C31" s="20" t="s">
        <v>102</v>
      </c>
      <c r="D31" s="20" t="n">
        <v>3.8</v>
      </c>
      <c r="E31" s="20" t="n">
        <v>0.06</v>
      </c>
      <c r="F31" s="16"/>
      <c r="G31" s="16"/>
      <c r="H31" s="17" t="n">
        <f aca="false">IFERROR(IF(F31&gt;0,F31*D31,IF(G31&gt;0,G31*E31,0)),0)</f>
        <v>0</v>
      </c>
      <c r="I31" s="21" t="s">
        <v>103</v>
      </c>
      <c r="J31" s="21" t="s">
        <v>136</v>
      </c>
      <c r="K31" s="22" t="s">
        <v>166</v>
      </c>
    </row>
    <row r="32" customFormat="false" ht="19.5" hidden="false" customHeight="true" outlineLevel="0" collapsed="false">
      <c r="A32" s="15" t="s">
        <v>139</v>
      </c>
      <c r="B32" s="15" t="s">
        <v>167</v>
      </c>
      <c r="C32" s="15" t="s">
        <v>102</v>
      </c>
      <c r="D32" s="15" t="n">
        <v>2.9</v>
      </c>
      <c r="E32" s="15" t="n">
        <v>0.05</v>
      </c>
      <c r="F32" s="16"/>
      <c r="G32" s="16"/>
      <c r="H32" s="17" t="n">
        <f aca="false">IFERROR(IF(F32&gt;0,F32*D32,IF(G32&gt;0,G32*E32,0)),0)</f>
        <v>0</v>
      </c>
      <c r="I32" s="18" t="s">
        <v>103</v>
      </c>
      <c r="J32" s="18" t="s">
        <v>136</v>
      </c>
      <c r="K32" s="19" t="s">
        <v>168</v>
      </c>
    </row>
    <row r="33" customFormat="false" ht="19.5" hidden="false" customHeight="true" outlineLevel="0" collapsed="false">
      <c r="A33" s="20" t="s">
        <v>139</v>
      </c>
      <c r="B33" s="20" t="s">
        <v>169</v>
      </c>
      <c r="C33" s="20" t="s">
        <v>102</v>
      </c>
      <c r="D33" s="20" t="n">
        <v>0.95</v>
      </c>
      <c r="E33" s="20" t="n">
        <v>0.02</v>
      </c>
      <c r="F33" s="16"/>
      <c r="G33" s="16"/>
      <c r="H33" s="17" t="n">
        <f aca="false">IFERROR(IF(F33&gt;0,F33*D33,IF(G33&gt;0,G33*E33,0)),0)</f>
        <v>0</v>
      </c>
      <c r="I33" s="21" t="s">
        <v>103</v>
      </c>
      <c r="J33" s="21" t="s">
        <v>170</v>
      </c>
      <c r="K33" s="22" t="s">
        <v>171</v>
      </c>
    </row>
    <row r="34" customFormat="false" ht="19.5" hidden="false" customHeight="true" outlineLevel="0" collapsed="false">
      <c r="A34" s="15" t="s">
        <v>139</v>
      </c>
      <c r="B34" s="15" t="s">
        <v>172</v>
      </c>
      <c r="C34" s="15" t="s">
        <v>102</v>
      </c>
      <c r="D34" s="15" t="n">
        <v>3.4</v>
      </c>
      <c r="E34" s="15" t="n">
        <v>0.055</v>
      </c>
      <c r="F34" s="16"/>
      <c r="G34" s="16"/>
      <c r="H34" s="17" t="n">
        <f aca="false">IFERROR(IF(F34&gt;0,F34*D34,IF(G34&gt;0,G34*E34,0)),0)</f>
        <v>0</v>
      </c>
      <c r="I34" s="18" t="s">
        <v>103</v>
      </c>
      <c r="J34" s="18" t="s">
        <v>173</v>
      </c>
      <c r="K34" s="19" t="s">
        <v>174</v>
      </c>
    </row>
    <row r="35" customFormat="false" ht="19.5" hidden="false" customHeight="true" outlineLevel="0" collapsed="false">
      <c r="A35" s="20" t="s">
        <v>139</v>
      </c>
      <c r="B35" s="20" t="s">
        <v>175</v>
      </c>
      <c r="C35" s="20" t="s">
        <v>102</v>
      </c>
      <c r="D35" s="20" t="n">
        <v>2.1</v>
      </c>
      <c r="E35" s="20" t="n">
        <v>0.038</v>
      </c>
      <c r="F35" s="16"/>
      <c r="G35" s="16"/>
      <c r="H35" s="17" t="n">
        <f aca="false">IFERROR(IF(F35&gt;0,F35*D35,IF(G35&gt;0,G35*E35,0)),0)</f>
        <v>0</v>
      </c>
      <c r="I35" s="21" t="s">
        <v>103</v>
      </c>
      <c r="J35" s="21" t="s">
        <v>173</v>
      </c>
      <c r="K35" s="22" t="s">
        <v>174</v>
      </c>
    </row>
    <row r="36" customFormat="false" ht="18" hidden="false" customHeight="true" outlineLevel="0" collapsed="false">
      <c r="A36" s="14" t="s">
        <v>176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customFormat="false" ht="19.5" hidden="false" customHeight="true" outlineLevel="0" collapsed="false">
      <c r="A37" s="15" t="s">
        <v>177</v>
      </c>
      <c r="B37" s="15" t="s">
        <v>178</v>
      </c>
      <c r="C37" s="15" t="s">
        <v>102</v>
      </c>
      <c r="D37" s="15" t="n">
        <v>35</v>
      </c>
      <c r="E37" s="15" t="n">
        <v>0.18</v>
      </c>
      <c r="F37" s="16"/>
      <c r="G37" s="16"/>
      <c r="H37" s="17" t="n">
        <f aca="false">IFERROR(IF(F37&gt;0,F37*D37,IF(G37&gt;0,G37*E37,0)),0)</f>
        <v>0</v>
      </c>
      <c r="I37" s="18" t="s">
        <v>103</v>
      </c>
      <c r="J37" s="18" t="s">
        <v>179</v>
      </c>
      <c r="K37" s="19" t="s">
        <v>180</v>
      </c>
    </row>
    <row r="38" customFormat="false" ht="19.5" hidden="false" customHeight="true" outlineLevel="0" collapsed="false">
      <c r="A38" s="20" t="s">
        <v>177</v>
      </c>
      <c r="B38" s="20" t="s">
        <v>181</v>
      </c>
      <c r="C38" s="20" t="s">
        <v>102</v>
      </c>
      <c r="D38" s="20" t="n">
        <v>8.5</v>
      </c>
      <c r="E38" s="20" t="n">
        <v>0.065</v>
      </c>
      <c r="F38" s="16"/>
      <c r="G38" s="16"/>
      <c r="H38" s="17" t="n">
        <f aca="false">IFERROR(IF(F38&gt;0,F38*D38,IF(G38&gt;0,G38*E38,0)),0)</f>
        <v>0</v>
      </c>
      <c r="I38" s="21" t="s">
        <v>103</v>
      </c>
      <c r="J38" s="21" t="s">
        <v>136</v>
      </c>
      <c r="K38" s="22" t="s">
        <v>182</v>
      </c>
    </row>
    <row r="39" customFormat="false" ht="19.5" hidden="false" customHeight="true" outlineLevel="0" collapsed="false">
      <c r="A39" s="15" t="s">
        <v>177</v>
      </c>
      <c r="B39" s="15" t="s">
        <v>183</v>
      </c>
      <c r="C39" s="15" t="s">
        <v>148</v>
      </c>
      <c r="D39" s="15" t="s">
        <v>149</v>
      </c>
      <c r="E39" s="15" t="n">
        <v>0.025</v>
      </c>
      <c r="F39" s="16"/>
      <c r="G39" s="16"/>
      <c r="H39" s="17" t="n">
        <f aca="false">IFERROR(IF(F39&gt;0,F39*D39,IF(G39&gt;0,G39*E39,0)),0)</f>
        <v>0</v>
      </c>
      <c r="I39" s="18" t="s">
        <v>150</v>
      </c>
      <c r="J39" s="18" t="s">
        <v>151</v>
      </c>
      <c r="K39" s="19" t="s">
        <v>184</v>
      </c>
    </row>
    <row r="40" customFormat="false" ht="19.5" hidden="false" customHeight="true" outlineLevel="0" collapsed="false">
      <c r="A40" s="20" t="s">
        <v>177</v>
      </c>
      <c r="B40" s="20" t="s">
        <v>185</v>
      </c>
      <c r="C40" s="20" t="s">
        <v>148</v>
      </c>
      <c r="D40" s="20" t="s">
        <v>149</v>
      </c>
      <c r="E40" s="20" t="n">
        <v>0.018</v>
      </c>
      <c r="F40" s="16"/>
      <c r="G40" s="16"/>
      <c r="H40" s="17" t="n">
        <f aca="false">IFERROR(IF(F40&gt;0,F40*D40,IF(G40&gt;0,G40*E40,0)),0)</f>
        <v>0</v>
      </c>
      <c r="I40" s="21" t="s">
        <v>150</v>
      </c>
      <c r="J40" s="21" t="s">
        <v>151</v>
      </c>
      <c r="K40" s="22" t="s">
        <v>186</v>
      </c>
    </row>
    <row r="41" customFormat="false" ht="18" hidden="false" customHeight="true" outlineLevel="0" collapsed="false">
      <c r="A41" s="14" t="s">
        <v>187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customFormat="false" ht="19.5" hidden="false" customHeight="true" outlineLevel="0" collapsed="false">
      <c r="A42" s="15" t="s">
        <v>188</v>
      </c>
      <c r="B42" s="15" t="s">
        <v>189</v>
      </c>
      <c r="C42" s="15" t="s">
        <v>102</v>
      </c>
      <c r="D42" s="15" t="n">
        <v>5.5</v>
      </c>
      <c r="E42" s="15" t="n">
        <v>0.09</v>
      </c>
      <c r="F42" s="16"/>
      <c r="G42" s="16"/>
      <c r="H42" s="17" t="n">
        <f aca="false">IFERROR(IF(F42&gt;0,F42*D42,IF(G42&gt;0,G42*E42,0)),0)</f>
        <v>0</v>
      </c>
      <c r="I42" s="18" t="s">
        <v>103</v>
      </c>
      <c r="J42" s="18" t="s">
        <v>190</v>
      </c>
      <c r="K42" s="19" t="s">
        <v>191</v>
      </c>
    </row>
    <row r="43" customFormat="false" ht="19.5" hidden="false" customHeight="true" outlineLevel="0" collapsed="false">
      <c r="A43" s="20" t="s">
        <v>188</v>
      </c>
      <c r="B43" s="20" t="s">
        <v>192</v>
      </c>
      <c r="C43" s="20" t="s">
        <v>102</v>
      </c>
      <c r="D43" s="20" t="n">
        <v>6.2</v>
      </c>
      <c r="E43" s="20" t="n">
        <v>0.1</v>
      </c>
      <c r="F43" s="16"/>
      <c r="G43" s="16"/>
      <c r="H43" s="17" t="n">
        <f aca="false">IFERROR(IF(F43&gt;0,F43*D43,IF(G43&gt;0,G43*E43,0)),0)</f>
        <v>0</v>
      </c>
      <c r="I43" s="21" t="s">
        <v>103</v>
      </c>
      <c r="J43" s="21" t="s">
        <v>190</v>
      </c>
      <c r="K43" s="22" t="s">
        <v>193</v>
      </c>
    </row>
    <row r="44" customFormat="false" ht="19.5" hidden="false" customHeight="true" outlineLevel="0" collapsed="false">
      <c r="A44" s="15" t="s">
        <v>188</v>
      </c>
      <c r="B44" s="15" t="s">
        <v>194</v>
      </c>
      <c r="C44" s="15" t="s">
        <v>102</v>
      </c>
      <c r="D44" s="15" t="n">
        <v>7.8</v>
      </c>
      <c r="E44" s="15" t="n">
        <v>0.125</v>
      </c>
      <c r="F44" s="16"/>
      <c r="G44" s="16"/>
      <c r="H44" s="17" t="n">
        <f aca="false">IFERROR(IF(F44&gt;0,F44*D44,IF(G44&gt;0,G44*E44,0)),0)</f>
        <v>0</v>
      </c>
      <c r="I44" s="18" t="s">
        <v>103</v>
      </c>
      <c r="J44" s="18" t="s">
        <v>190</v>
      </c>
      <c r="K44" s="19" t="s">
        <v>195</v>
      </c>
    </row>
    <row r="45" customFormat="false" ht="19.5" hidden="false" customHeight="true" outlineLevel="0" collapsed="false">
      <c r="A45" s="20" t="s">
        <v>188</v>
      </c>
      <c r="B45" s="20" t="s">
        <v>196</v>
      </c>
      <c r="C45" s="20" t="s">
        <v>102</v>
      </c>
      <c r="D45" s="20" t="n">
        <v>9.5</v>
      </c>
      <c r="E45" s="20" t="n">
        <v>0.15</v>
      </c>
      <c r="F45" s="16"/>
      <c r="G45" s="16"/>
      <c r="H45" s="17" t="n">
        <f aca="false">IFERROR(IF(F45&gt;0,F45*D45,IF(G45&gt;0,G45*E45,0)),0)</f>
        <v>0</v>
      </c>
      <c r="I45" s="21" t="s">
        <v>103</v>
      </c>
      <c r="J45" s="21" t="s">
        <v>190</v>
      </c>
      <c r="K45" s="22" t="s">
        <v>197</v>
      </c>
    </row>
    <row r="46" customFormat="false" ht="19.5" hidden="false" customHeight="true" outlineLevel="0" collapsed="false">
      <c r="A46" s="15" t="s">
        <v>188</v>
      </c>
      <c r="B46" s="15" t="s">
        <v>198</v>
      </c>
      <c r="C46" s="15" t="s">
        <v>102</v>
      </c>
      <c r="D46" s="15" t="n">
        <v>9.5</v>
      </c>
      <c r="E46" s="15" t="n">
        <v>0.148</v>
      </c>
      <c r="F46" s="16"/>
      <c r="G46" s="16"/>
      <c r="H46" s="17" t="n">
        <f aca="false">IFERROR(IF(F46&gt;0,F46*D46,IF(G46&gt;0,G46*E46,0)),0)</f>
        <v>0</v>
      </c>
      <c r="I46" s="18" t="s">
        <v>103</v>
      </c>
      <c r="J46" s="18" t="s">
        <v>190</v>
      </c>
      <c r="K46" s="19" t="s">
        <v>199</v>
      </c>
    </row>
    <row r="47" customFormat="false" ht="19.5" hidden="false" customHeight="true" outlineLevel="0" collapsed="false">
      <c r="A47" s="20" t="s">
        <v>188</v>
      </c>
      <c r="B47" s="20" t="s">
        <v>200</v>
      </c>
      <c r="C47" s="20" t="s">
        <v>102</v>
      </c>
      <c r="D47" s="20" t="n">
        <v>10.2</v>
      </c>
      <c r="E47" s="20" t="n">
        <v>0.16</v>
      </c>
      <c r="F47" s="16"/>
      <c r="G47" s="16"/>
      <c r="H47" s="17" t="n">
        <f aca="false">IFERROR(IF(F47&gt;0,F47*D47,IF(G47&gt;0,G47*E47,0)),0)</f>
        <v>0</v>
      </c>
      <c r="I47" s="21" t="s">
        <v>103</v>
      </c>
      <c r="J47" s="21" t="s">
        <v>190</v>
      </c>
      <c r="K47" s="22" t="s">
        <v>201</v>
      </c>
    </row>
    <row r="48" customFormat="false" ht="19.5" hidden="false" customHeight="true" outlineLevel="0" collapsed="false">
      <c r="A48" s="15" t="s">
        <v>188</v>
      </c>
      <c r="B48" s="15" t="s">
        <v>202</v>
      </c>
      <c r="C48" s="15" t="s">
        <v>102</v>
      </c>
      <c r="D48" s="15" t="n">
        <v>3.2</v>
      </c>
      <c r="E48" s="15" t="n">
        <v>0.055</v>
      </c>
      <c r="F48" s="16"/>
      <c r="G48" s="16"/>
      <c r="H48" s="17" t="n">
        <f aca="false">IFERROR(IF(F48&gt;0,F48*D48,IF(G48&gt;0,G48*E48,0)),0)</f>
        <v>0</v>
      </c>
      <c r="I48" s="18" t="s">
        <v>103</v>
      </c>
      <c r="J48" s="18" t="s">
        <v>190</v>
      </c>
      <c r="K48" s="19" t="s">
        <v>203</v>
      </c>
    </row>
    <row r="49" customFormat="false" ht="19.5" hidden="false" customHeight="true" outlineLevel="0" collapsed="false">
      <c r="A49" s="20" t="s">
        <v>188</v>
      </c>
      <c r="B49" s="20" t="s">
        <v>204</v>
      </c>
      <c r="C49" s="20" t="s">
        <v>102</v>
      </c>
      <c r="D49" s="20" t="n">
        <v>12</v>
      </c>
      <c r="E49" s="20" t="n">
        <v>0.185</v>
      </c>
      <c r="F49" s="16"/>
      <c r="G49" s="16"/>
      <c r="H49" s="17" t="n">
        <f aca="false">IFERROR(IF(F49&gt;0,F49*D49,IF(G49&gt;0,G49*E49,0)),0)</f>
        <v>0</v>
      </c>
      <c r="I49" s="21" t="s">
        <v>103</v>
      </c>
      <c r="J49" s="21" t="s">
        <v>136</v>
      </c>
      <c r="K49" s="22" t="s">
        <v>205</v>
      </c>
    </row>
    <row r="50" customFormat="false" ht="19.5" hidden="false" customHeight="true" outlineLevel="0" collapsed="false">
      <c r="A50" s="15" t="s">
        <v>188</v>
      </c>
      <c r="B50" s="15" t="s">
        <v>206</v>
      </c>
      <c r="C50" s="15" t="s">
        <v>102</v>
      </c>
      <c r="D50" s="15" t="n">
        <v>22</v>
      </c>
      <c r="E50" s="15" t="n">
        <v>0.34</v>
      </c>
      <c r="F50" s="16"/>
      <c r="G50" s="16"/>
      <c r="H50" s="17" t="n">
        <f aca="false">IFERROR(IF(F50&gt;0,F50*D50,IF(G50&gt;0,G50*E50,0)),0)</f>
        <v>0</v>
      </c>
      <c r="I50" s="18" t="s">
        <v>103</v>
      </c>
      <c r="J50" s="18" t="s">
        <v>190</v>
      </c>
      <c r="K50" s="19" t="s">
        <v>207</v>
      </c>
    </row>
    <row r="51" customFormat="false" ht="19.5" hidden="false" customHeight="true" outlineLevel="0" collapsed="false">
      <c r="A51" s="20" t="s">
        <v>188</v>
      </c>
      <c r="B51" s="20" t="s">
        <v>208</v>
      </c>
      <c r="C51" s="20" t="s">
        <v>102</v>
      </c>
      <c r="D51" s="20" t="n">
        <v>8.2</v>
      </c>
      <c r="E51" s="20" t="n">
        <v>0.13</v>
      </c>
      <c r="F51" s="16"/>
      <c r="G51" s="16"/>
      <c r="H51" s="17" t="n">
        <f aca="false">IFERROR(IF(F51&gt;0,F51*D51,IF(G51&gt;0,G51*E51,0)),0)</f>
        <v>0</v>
      </c>
      <c r="I51" s="21" t="s">
        <v>103</v>
      </c>
      <c r="J51" s="21" t="s">
        <v>209</v>
      </c>
      <c r="K51" s="22" t="s">
        <v>210</v>
      </c>
    </row>
    <row r="52" customFormat="false" ht="19.5" hidden="false" customHeight="true" outlineLevel="0" collapsed="false">
      <c r="A52" s="15" t="s">
        <v>188</v>
      </c>
      <c r="B52" s="15" t="s">
        <v>211</v>
      </c>
      <c r="C52" s="15" t="s">
        <v>212</v>
      </c>
      <c r="D52" s="15" t="n">
        <v>0.008</v>
      </c>
      <c r="E52" s="15" t="n">
        <v>0.000125</v>
      </c>
      <c r="F52" s="16"/>
      <c r="G52" s="16"/>
      <c r="H52" s="17" t="n">
        <f aca="false">IFERROR(IF(F52&gt;0,F52*D52,IF(G52&gt;0,G52*E52,0)),0)</f>
        <v>0</v>
      </c>
      <c r="I52" s="18" t="s">
        <v>103</v>
      </c>
      <c r="J52" s="18" t="s">
        <v>213</v>
      </c>
      <c r="K52" s="19" t="s">
        <v>214</v>
      </c>
    </row>
    <row r="53" customFormat="false" ht="18" hidden="false" customHeight="true" outlineLevel="0" collapsed="false">
      <c r="A53" s="14" t="s">
        <v>215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customFormat="false" ht="19.5" hidden="false" customHeight="true" outlineLevel="0" collapsed="false">
      <c r="A54" s="15" t="s">
        <v>216</v>
      </c>
      <c r="B54" s="15" t="s">
        <v>217</v>
      </c>
      <c r="C54" s="15" t="s">
        <v>218</v>
      </c>
      <c r="D54" s="15" t="n">
        <v>28.5</v>
      </c>
      <c r="E54" s="15" t="n">
        <v>0.45</v>
      </c>
      <c r="F54" s="16"/>
      <c r="G54" s="16"/>
      <c r="H54" s="17" t="n">
        <f aca="false">IFERROR(IF(F54&gt;0,F54*D54,IF(G54&gt;0,G54*E54,0)),0)</f>
        <v>0</v>
      </c>
      <c r="I54" s="18" t="s">
        <v>103</v>
      </c>
      <c r="J54" s="18" t="s">
        <v>219</v>
      </c>
      <c r="K54" s="19" t="s">
        <v>220</v>
      </c>
    </row>
    <row r="55" customFormat="false" ht="19.5" hidden="false" customHeight="true" outlineLevel="0" collapsed="false">
      <c r="A55" s="20" t="s">
        <v>216</v>
      </c>
      <c r="B55" s="20" t="s">
        <v>221</v>
      </c>
      <c r="C55" s="20" t="s">
        <v>218</v>
      </c>
      <c r="D55" s="20" t="n">
        <v>220</v>
      </c>
      <c r="E55" s="20" t="n">
        <v>3.5</v>
      </c>
      <c r="F55" s="16"/>
      <c r="G55" s="16"/>
      <c r="H55" s="17" t="n">
        <f aca="false">IFERROR(IF(F55&gt;0,F55*D55,IF(G55&gt;0,G55*E55,0)),0)</f>
        <v>0</v>
      </c>
      <c r="I55" s="21" t="s">
        <v>103</v>
      </c>
      <c r="J55" s="21" t="s">
        <v>222</v>
      </c>
      <c r="K55" s="22" t="s">
        <v>223</v>
      </c>
    </row>
    <row r="56" customFormat="false" ht="19.5" hidden="false" customHeight="true" outlineLevel="0" collapsed="false">
      <c r="A56" s="15" t="s">
        <v>216</v>
      </c>
      <c r="B56" s="15" t="s">
        <v>224</v>
      </c>
      <c r="C56" s="15" t="s">
        <v>102</v>
      </c>
      <c r="D56" s="15" t="n">
        <v>4.2</v>
      </c>
      <c r="E56" s="15" t="n">
        <v>0.068</v>
      </c>
      <c r="F56" s="16"/>
      <c r="G56" s="16"/>
      <c r="H56" s="17" t="n">
        <f aca="false">IFERROR(IF(F56&gt;0,F56*D56,IF(G56&gt;0,G56*E56,0)),0)</f>
        <v>0</v>
      </c>
      <c r="I56" s="18" t="s">
        <v>103</v>
      </c>
      <c r="J56" s="18" t="s">
        <v>163</v>
      </c>
      <c r="K56" s="19" t="s">
        <v>225</v>
      </c>
    </row>
    <row r="57" customFormat="false" ht="19.5" hidden="false" customHeight="true" outlineLevel="0" collapsed="false">
      <c r="A57" s="20" t="s">
        <v>216</v>
      </c>
      <c r="B57" s="20" t="s">
        <v>226</v>
      </c>
      <c r="C57" s="20" t="s">
        <v>227</v>
      </c>
      <c r="D57" s="20" t="n">
        <v>75</v>
      </c>
      <c r="E57" s="20" t="n">
        <v>1.2</v>
      </c>
      <c r="F57" s="16"/>
      <c r="G57" s="16"/>
      <c r="H57" s="17" t="n">
        <f aca="false">IFERROR(IF(F57&gt;0,F57*D57,IF(G57&gt;0,G57*E57,0)),0)</f>
        <v>0</v>
      </c>
      <c r="I57" s="21" t="s">
        <v>103</v>
      </c>
      <c r="J57" s="21" t="s">
        <v>228</v>
      </c>
      <c r="K57" s="22" t="s">
        <v>229</v>
      </c>
    </row>
    <row r="58" customFormat="false" ht="19.5" hidden="false" customHeight="true" outlineLevel="0" collapsed="false">
      <c r="A58" s="15" t="s">
        <v>216</v>
      </c>
      <c r="B58" s="15" t="s">
        <v>230</v>
      </c>
      <c r="C58" s="15" t="s">
        <v>218</v>
      </c>
      <c r="D58" s="15" t="n">
        <v>1.12</v>
      </c>
      <c r="E58" s="15" t="n">
        <v>0.02</v>
      </c>
      <c r="F58" s="16"/>
      <c r="G58" s="16"/>
      <c r="H58" s="17" t="n">
        <f aca="false">IFERROR(IF(F58&gt;0,F58*D58,IF(G58&gt;0,G58*E58,0)),0)</f>
        <v>0</v>
      </c>
      <c r="I58" s="18" t="s">
        <v>103</v>
      </c>
      <c r="J58" s="18" t="s">
        <v>136</v>
      </c>
      <c r="K58" s="19" t="s">
        <v>231</v>
      </c>
    </row>
    <row r="59" customFormat="false" ht="19.5" hidden="false" customHeight="true" outlineLevel="0" collapsed="false">
      <c r="A59" s="20" t="s">
        <v>216</v>
      </c>
      <c r="B59" s="20" t="s">
        <v>232</v>
      </c>
      <c r="C59" s="20" t="s">
        <v>233</v>
      </c>
      <c r="D59" s="20" t="n">
        <v>0.38</v>
      </c>
      <c r="E59" s="20" t="n">
        <v>0.007</v>
      </c>
      <c r="F59" s="16"/>
      <c r="G59" s="16"/>
      <c r="H59" s="17" t="n">
        <f aca="false">IFERROR(IF(F59&gt;0,F59*D59,IF(G59&gt;0,G59*E59,0)),0)</f>
        <v>0</v>
      </c>
      <c r="I59" s="21" t="s">
        <v>103</v>
      </c>
      <c r="J59" s="21" t="s">
        <v>234</v>
      </c>
      <c r="K59" s="22" t="s">
        <v>235</v>
      </c>
    </row>
    <row r="60" customFormat="false" ht="19.5" hidden="false" customHeight="true" outlineLevel="0" collapsed="false">
      <c r="A60" s="15" t="s">
        <v>216</v>
      </c>
      <c r="B60" s="15" t="s">
        <v>236</v>
      </c>
      <c r="C60" s="15" t="s">
        <v>237</v>
      </c>
      <c r="D60" s="15" t="s">
        <v>149</v>
      </c>
      <c r="E60" s="15" t="n">
        <v>0.006</v>
      </c>
      <c r="F60" s="16"/>
      <c r="G60" s="16"/>
      <c r="H60" s="17" t="n">
        <f aca="false">IFERROR(IF(F60&gt;0,F60*D60,IF(G60&gt;0,G60*E60,0)),0)</f>
        <v>0</v>
      </c>
      <c r="I60" s="18" t="s">
        <v>150</v>
      </c>
      <c r="J60" s="18" t="s">
        <v>151</v>
      </c>
      <c r="K60" s="19" t="s">
        <v>238</v>
      </c>
    </row>
    <row r="61" customFormat="false" ht="19.5" hidden="false" customHeight="true" outlineLevel="0" collapsed="false">
      <c r="A61" s="20" t="s">
        <v>216</v>
      </c>
      <c r="B61" s="20" t="s">
        <v>239</v>
      </c>
      <c r="C61" s="20" t="s">
        <v>148</v>
      </c>
      <c r="D61" s="20" t="s">
        <v>149</v>
      </c>
      <c r="E61" s="20" t="n">
        <v>0.012</v>
      </c>
      <c r="F61" s="16"/>
      <c r="G61" s="16"/>
      <c r="H61" s="17" t="n">
        <f aca="false">IFERROR(IF(F61&gt;0,F61*D61,IF(G61&gt;0,G61*E61,0)),0)</f>
        <v>0</v>
      </c>
      <c r="I61" s="21" t="s">
        <v>150</v>
      </c>
      <c r="J61" s="21" t="s">
        <v>151</v>
      </c>
      <c r="K61" s="22" t="s">
        <v>240</v>
      </c>
    </row>
    <row r="62" customFormat="false" ht="18" hidden="false" customHeight="true" outlineLevel="0" collapsed="false">
      <c r="A62" s="14" t="s">
        <v>241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customFormat="false" ht="19.5" hidden="false" customHeight="true" outlineLevel="0" collapsed="false">
      <c r="A63" s="15" t="s">
        <v>242</v>
      </c>
      <c r="B63" s="15" t="s">
        <v>243</v>
      </c>
      <c r="C63" s="15" t="s">
        <v>102</v>
      </c>
      <c r="D63" s="15" t="n">
        <v>1</v>
      </c>
      <c r="E63" s="15" t="n">
        <v>0.018</v>
      </c>
      <c r="F63" s="16"/>
      <c r="G63" s="16"/>
      <c r="H63" s="17" t="n">
        <f aca="false">IFERROR(IF(F63&gt;0,F63*D63,IF(G63&gt;0,G63*E63,0)),0)</f>
        <v>0</v>
      </c>
      <c r="I63" s="18" t="s">
        <v>103</v>
      </c>
      <c r="J63" s="18" t="s">
        <v>163</v>
      </c>
      <c r="K63" s="19" t="s">
        <v>244</v>
      </c>
    </row>
    <row r="64" customFormat="false" ht="19.5" hidden="false" customHeight="true" outlineLevel="0" collapsed="false">
      <c r="A64" s="20" t="s">
        <v>242</v>
      </c>
      <c r="B64" s="20" t="s">
        <v>245</v>
      </c>
      <c r="C64" s="20" t="s">
        <v>102</v>
      </c>
      <c r="D64" s="20" t="n">
        <v>1.4</v>
      </c>
      <c r="E64" s="20" t="n">
        <v>0.025</v>
      </c>
      <c r="F64" s="16"/>
      <c r="G64" s="16"/>
      <c r="H64" s="17" t="n">
        <f aca="false">IFERROR(IF(F64&gt;0,F64*D64,IF(G64&gt;0,G64*E64,0)),0)</f>
        <v>0</v>
      </c>
      <c r="I64" s="21" t="s">
        <v>103</v>
      </c>
      <c r="J64" s="21" t="s">
        <v>163</v>
      </c>
      <c r="K64" s="22" t="s">
        <v>246</v>
      </c>
    </row>
    <row r="65" customFormat="false" ht="19.5" hidden="false" customHeight="true" outlineLevel="0" collapsed="false">
      <c r="A65" s="15" t="s">
        <v>242</v>
      </c>
      <c r="B65" s="15" t="s">
        <v>247</v>
      </c>
      <c r="C65" s="15" t="s">
        <v>102</v>
      </c>
      <c r="D65" s="15" t="n">
        <v>0.82</v>
      </c>
      <c r="E65" s="15" t="n">
        <v>0.015</v>
      </c>
      <c r="F65" s="16"/>
      <c r="G65" s="16"/>
      <c r="H65" s="17" t="n">
        <f aca="false">IFERROR(IF(F65&gt;0,F65*D65,IF(G65&gt;0,G65*E65,0)),0)</f>
        <v>0</v>
      </c>
      <c r="I65" s="18" t="s">
        <v>103</v>
      </c>
      <c r="J65" s="18" t="s">
        <v>163</v>
      </c>
      <c r="K65" s="19" t="s">
        <v>248</v>
      </c>
    </row>
    <row r="66" customFormat="false" ht="19.5" hidden="false" customHeight="true" outlineLevel="0" collapsed="false">
      <c r="A66" s="20" t="s">
        <v>242</v>
      </c>
      <c r="B66" s="20" t="s">
        <v>249</v>
      </c>
      <c r="C66" s="20" t="s">
        <v>102</v>
      </c>
      <c r="D66" s="20" t="n">
        <v>0.95</v>
      </c>
      <c r="E66" s="20" t="n">
        <v>0.017</v>
      </c>
      <c r="F66" s="16"/>
      <c r="G66" s="16"/>
      <c r="H66" s="17" t="n">
        <f aca="false">IFERROR(IF(F66&gt;0,F66*D66,IF(G66&gt;0,G66*E66,0)),0)</f>
        <v>0</v>
      </c>
      <c r="I66" s="21" t="s">
        <v>103</v>
      </c>
      <c r="J66" s="21" t="s">
        <v>163</v>
      </c>
      <c r="K66" s="22" t="s">
        <v>250</v>
      </c>
    </row>
    <row r="67" customFormat="false" ht="19.5" hidden="false" customHeight="true" outlineLevel="0" collapsed="false">
      <c r="A67" s="15" t="s">
        <v>242</v>
      </c>
      <c r="B67" s="15" t="s">
        <v>251</v>
      </c>
      <c r="C67" s="15" t="s">
        <v>102</v>
      </c>
      <c r="D67" s="15" t="n">
        <v>2.4</v>
      </c>
      <c r="E67" s="15" t="n">
        <v>0.04</v>
      </c>
      <c r="F67" s="16"/>
      <c r="G67" s="16"/>
      <c r="H67" s="17" t="n">
        <f aca="false">IFERROR(IF(F67&gt;0,F67*D67,IF(G67&gt;0,G67*E67,0)),0)</f>
        <v>0</v>
      </c>
      <c r="I67" s="18" t="s">
        <v>103</v>
      </c>
      <c r="J67" s="18" t="s">
        <v>154</v>
      </c>
      <c r="K67" s="19" t="s">
        <v>252</v>
      </c>
    </row>
    <row r="68" customFormat="false" ht="19.5" hidden="false" customHeight="true" outlineLevel="0" collapsed="false">
      <c r="A68" s="20" t="s">
        <v>242</v>
      </c>
      <c r="B68" s="20" t="s">
        <v>253</v>
      </c>
      <c r="C68" s="20" t="s">
        <v>102</v>
      </c>
      <c r="D68" s="20" t="n">
        <v>3.1</v>
      </c>
      <c r="E68" s="20" t="n">
        <v>0.052</v>
      </c>
      <c r="F68" s="16"/>
      <c r="G68" s="16"/>
      <c r="H68" s="17" t="n">
        <f aca="false">IFERROR(IF(F68&gt;0,F68*D68,IF(G68&gt;0,G68*E68,0)),0)</f>
        <v>0</v>
      </c>
      <c r="I68" s="21" t="s">
        <v>103</v>
      </c>
      <c r="J68" s="21" t="s">
        <v>154</v>
      </c>
      <c r="K68" s="22" t="s">
        <v>254</v>
      </c>
    </row>
    <row r="69" customFormat="false" ht="19.5" hidden="false" customHeight="true" outlineLevel="0" collapsed="false">
      <c r="A69" s="15" t="s">
        <v>242</v>
      </c>
      <c r="B69" s="15" t="s">
        <v>255</v>
      </c>
      <c r="C69" s="15" t="s">
        <v>102</v>
      </c>
      <c r="D69" s="15" t="n">
        <v>0.86</v>
      </c>
      <c r="E69" s="15" t="n">
        <v>0.016</v>
      </c>
      <c r="F69" s="16"/>
      <c r="G69" s="16"/>
      <c r="H69" s="17" t="n">
        <f aca="false">IFERROR(IF(F69&gt;0,F69*D69,IF(G69&gt;0,G69*E69,0)),0)</f>
        <v>0</v>
      </c>
      <c r="I69" s="18" t="s">
        <v>103</v>
      </c>
      <c r="J69" s="18" t="s">
        <v>256</v>
      </c>
      <c r="K69" s="19" t="s">
        <v>257</v>
      </c>
    </row>
    <row r="70" customFormat="false" ht="19.5" hidden="false" customHeight="true" outlineLevel="0" collapsed="false">
      <c r="A70" s="20" t="s">
        <v>242</v>
      </c>
      <c r="B70" s="20" t="s">
        <v>258</v>
      </c>
      <c r="C70" s="20" t="s">
        <v>102</v>
      </c>
      <c r="D70" s="20" t="n">
        <v>8.5</v>
      </c>
      <c r="E70" s="20" t="n">
        <v>0.135</v>
      </c>
      <c r="F70" s="16"/>
      <c r="G70" s="16"/>
      <c r="H70" s="17" t="n">
        <f aca="false">IFERROR(IF(F70&gt;0,F70*D70,IF(G70&gt;0,G70*E70,0)),0)</f>
        <v>0</v>
      </c>
      <c r="I70" s="21" t="s">
        <v>103</v>
      </c>
      <c r="J70" s="21" t="s">
        <v>118</v>
      </c>
      <c r="K70" s="22" t="s">
        <v>259</v>
      </c>
    </row>
    <row r="71" customFormat="false" ht="19.5" hidden="false" customHeight="true" outlineLevel="0" collapsed="false">
      <c r="A71" s="15" t="s">
        <v>242</v>
      </c>
      <c r="B71" s="15" t="s">
        <v>260</v>
      </c>
      <c r="C71" s="15" t="s">
        <v>102</v>
      </c>
      <c r="D71" s="15" t="n">
        <v>2.1</v>
      </c>
      <c r="E71" s="15" t="n">
        <v>0.038</v>
      </c>
      <c r="F71" s="16"/>
      <c r="G71" s="16"/>
      <c r="H71" s="17" t="n">
        <f aca="false">IFERROR(IF(F71&gt;0,F71*D71,IF(G71&gt;0,G71*E71,0)),0)</f>
        <v>0</v>
      </c>
      <c r="I71" s="18" t="s">
        <v>103</v>
      </c>
      <c r="J71" s="18" t="s">
        <v>104</v>
      </c>
      <c r="K71" s="19" t="s">
        <v>261</v>
      </c>
    </row>
    <row r="72" customFormat="false" ht="19.5" hidden="false" customHeight="true" outlineLevel="0" collapsed="false">
      <c r="A72" s="20" t="s">
        <v>242</v>
      </c>
      <c r="B72" s="20" t="s">
        <v>262</v>
      </c>
      <c r="C72" s="20" t="s">
        <v>102</v>
      </c>
      <c r="D72" s="20" t="n">
        <v>2</v>
      </c>
      <c r="E72" s="20" t="n">
        <v>0.038</v>
      </c>
      <c r="F72" s="16"/>
      <c r="G72" s="16"/>
      <c r="H72" s="17" t="n">
        <f aca="false">IFERROR(IF(F72&gt;0,F72*D72,IF(G72&gt;0,G72*E72,0)),0)</f>
        <v>0</v>
      </c>
      <c r="I72" s="21" t="s">
        <v>103</v>
      </c>
      <c r="J72" s="21" t="s">
        <v>154</v>
      </c>
      <c r="K72" s="22" t="s">
        <v>263</v>
      </c>
    </row>
    <row r="73" customFormat="false" ht="18" hidden="false" customHeight="true" outlineLevel="0" collapsed="false">
      <c r="A73" s="14" t="s">
        <v>264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customFormat="false" ht="19.5" hidden="false" customHeight="true" outlineLevel="0" collapsed="false">
      <c r="A74" s="15" t="s">
        <v>109</v>
      </c>
      <c r="B74" s="15" t="s">
        <v>265</v>
      </c>
      <c r="C74" s="15" t="s">
        <v>102</v>
      </c>
      <c r="D74" s="15" t="n">
        <v>0.82</v>
      </c>
      <c r="E74" s="15" t="n">
        <v>0.02</v>
      </c>
      <c r="F74" s="16"/>
      <c r="G74" s="16"/>
      <c r="H74" s="17" t="n">
        <f aca="false">IFERROR(IF(F74&gt;0,F74*D74,IF(G74&gt;0,G74*E74,0)),0)</f>
        <v>0</v>
      </c>
      <c r="I74" s="18" t="s">
        <v>103</v>
      </c>
      <c r="J74" s="18" t="s">
        <v>266</v>
      </c>
      <c r="K74" s="19" t="s">
        <v>267</v>
      </c>
    </row>
    <row r="75" customFormat="false" ht="19.5" hidden="false" customHeight="true" outlineLevel="0" collapsed="false">
      <c r="A75" s="20" t="s">
        <v>109</v>
      </c>
      <c r="B75" s="20" t="s">
        <v>268</v>
      </c>
      <c r="C75" s="20" t="s">
        <v>102</v>
      </c>
      <c r="D75" s="20" t="n">
        <v>0.65</v>
      </c>
      <c r="E75" s="20" t="n">
        <v>0.016</v>
      </c>
      <c r="F75" s="16"/>
      <c r="G75" s="16"/>
      <c r="H75" s="17" t="n">
        <f aca="false">IFERROR(IF(F75&gt;0,F75*D75,IF(G75&gt;0,G75*E75,0)),0)</f>
        <v>0</v>
      </c>
      <c r="I75" s="21" t="s">
        <v>103</v>
      </c>
      <c r="J75" s="21" t="s">
        <v>266</v>
      </c>
      <c r="K75" s="22" t="s">
        <v>269</v>
      </c>
    </row>
    <row r="76" customFormat="false" ht="19.5" hidden="false" customHeight="true" outlineLevel="0" collapsed="false">
      <c r="A76" s="15" t="s">
        <v>109</v>
      </c>
      <c r="B76" s="15" t="s">
        <v>270</v>
      </c>
      <c r="C76" s="15" t="s">
        <v>102</v>
      </c>
      <c r="D76" s="15" t="n">
        <v>0.55</v>
      </c>
      <c r="E76" s="15" t="n">
        <v>0.014</v>
      </c>
      <c r="F76" s="16"/>
      <c r="G76" s="16"/>
      <c r="H76" s="17" t="n">
        <f aca="false">IFERROR(IF(F76&gt;0,F76*D76,IF(G76&gt;0,G76*E76,0)),0)</f>
        <v>0</v>
      </c>
      <c r="I76" s="18" t="s">
        <v>103</v>
      </c>
      <c r="J76" s="18" t="s">
        <v>266</v>
      </c>
      <c r="K76" s="19" t="s">
        <v>271</v>
      </c>
    </row>
    <row r="77" customFormat="false" ht="19.5" hidden="false" customHeight="true" outlineLevel="0" collapsed="false">
      <c r="A77" s="20" t="s">
        <v>109</v>
      </c>
      <c r="B77" s="20" t="s">
        <v>272</v>
      </c>
      <c r="C77" s="20" t="s">
        <v>273</v>
      </c>
      <c r="D77" s="20" t="n">
        <v>0.22</v>
      </c>
      <c r="E77" s="20" t="n">
        <v>0.005</v>
      </c>
      <c r="F77" s="16"/>
      <c r="G77" s="16"/>
      <c r="H77" s="17" t="n">
        <f aca="false">IFERROR(IF(F77&gt;0,F77*D77,IF(G77&gt;0,G77*E77,0)),0)</f>
        <v>0</v>
      </c>
      <c r="I77" s="21" t="s">
        <v>103</v>
      </c>
      <c r="J77" s="21" t="s">
        <v>136</v>
      </c>
      <c r="K77" s="22" t="s">
        <v>274</v>
      </c>
    </row>
    <row r="78" customFormat="false" ht="19.5" hidden="false" customHeight="true" outlineLevel="0" collapsed="false">
      <c r="A78" s="15" t="s">
        <v>109</v>
      </c>
      <c r="B78" s="15" t="s">
        <v>275</v>
      </c>
      <c r="C78" s="15" t="s">
        <v>273</v>
      </c>
      <c r="D78" s="15" t="n">
        <v>0.35</v>
      </c>
      <c r="E78" s="15" t="n">
        <v>0.008</v>
      </c>
      <c r="F78" s="16"/>
      <c r="G78" s="16"/>
      <c r="H78" s="17" t="n">
        <f aca="false">IFERROR(IF(F78&gt;0,F78*D78,IF(G78&gt;0,G78*E78,0)),0)</f>
        <v>0</v>
      </c>
      <c r="I78" s="18" t="s">
        <v>103</v>
      </c>
      <c r="J78" s="18" t="s">
        <v>136</v>
      </c>
      <c r="K78" s="19" t="s">
        <v>276</v>
      </c>
    </row>
    <row r="79" customFormat="false" ht="19.5" hidden="false" customHeight="true" outlineLevel="0" collapsed="false">
      <c r="A79" s="20" t="s">
        <v>109</v>
      </c>
      <c r="B79" s="20" t="s">
        <v>277</v>
      </c>
      <c r="C79" s="20" t="s">
        <v>102</v>
      </c>
      <c r="D79" s="20" t="n">
        <v>2.08</v>
      </c>
      <c r="E79" s="20" t="n">
        <v>0.034</v>
      </c>
      <c r="F79" s="16"/>
      <c r="G79" s="16"/>
      <c r="H79" s="17" t="n">
        <f aca="false">IFERROR(IF(F79&gt;0,F79*D79,IF(G79&gt;0,G79*E79,0)),0)</f>
        <v>0</v>
      </c>
      <c r="I79" s="21" t="s">
        <v>103</v>
      </c>
      <c r="J79" s="21" t="s">
        <v>104</v>
      </c>
      <c r="K79" s="22" t="s">
        <v>278</v>
      </c>
    </row>
    <row r="80" customFormat="false" ht="19.5" hidden="false" customHeight="true" outlineLevel="0" collapsed="false">
      <c r="A80" s="15" t="s">
        <v>109</v>
      </c>
      <c r="B80" s="15" t="s">
        <v>279</v>
      </c>
      <c r="C80" s="15" t="s">
        <v>280</v>
      </c>
      <c r="D80" s="15" t="n">
        <v>0.05</v>
      </c>
      <c r="E80" s="15" t="n">
        <v>0.002</v>
      </c>
      <c r="F80" s="16"/>
      <c r="G80" s="16"/>
      <c r="H80" s="17" t="n">
        <f aca="false">IFERROR(IF(F80&gt;0,F80*D80,IF(G80&gt;0,G80*E80,0)),0)</f>
        <v>0</v>
      </c>
      <c r="I80" s="18" t="s">
        <v>103</v>
      </c>
      <c r="J80" s="18" t="s">
        <v>281</v>
      </c>
      <c r="K80" s="19" t="s">
        <v>282</v>
      </c>
    </row>
    <row r="81" customFormat="false" ht="19.5" hidden="false" customHeight="true" outlineLevel="0" collapsed="false">
      <c r="A81" s="20" t="s">
        <v>109</v>
      </c>
      <c r="B81" s="20" t="s">
        <v>283</v>
      </c>
      <c r="C81" s="20" t="s">
        <v>280</v>
      </c>
      <c r="D81" s="20" t="n">
        <v>0.27</v>
      </c>
      <c r="E81" s="20" t="n">
        <v>0.008</v>
      </c>
      <c r="F81" s="16"/>
      <c r="G81" s="16"/>
      <c r="H81" s="17" t="n">
        <f aca="false">IFERROR(IF(F81&gt;0,F81*D81,IF(G81&gt;0,G81*E81,0)),0)</f>
        <v>0</v>
      </c>
      <c r="I81" s="21" t="s">
        <v>103</v>
      </c>
      <c r="J81" s="21" t="s">
        <v>136</v>
      </c>
      <c r="K81" s="22" t="s">
        <v>284</v>
      </c>
    </row>
    <row r="82" customFormat="false" ht="19.5" hidden="false" customHeight="true" outlineLevel="0" collapsed="false">
      <c r="A82" s="15" t="s">
        <v>109</v>
      </c>
      <c r="B82" s="15" t="s">
        <v>285</v>
      </c>
      <c r="C82" s="15" t="s">
        <v>273</v>
      </c>
      <c r="D82" s="15" t="n">
        <v>0.21</v>
      </c>
      <c r="E82" s="15" t="n">
        <v>0.006</v>
      </c>
      <c r="F82" s="16"/>
      <c r="G82" s="16"/>
      <c r="H82" s="17" t="n">
        <f aca="false">IFERROR(IF(F82&gt;0,F82*D82,IF(G82&gt;0,G82*E82,0)),0)</f>
        <v>0</v>
      </c>
      <c r="I82" s="18" t="s">
        <v>103</v>
      </c>
      <c r="J82" s="18" t="s">
        <v>136</v>
      </c>
      <c r="K82" s="19" t="s">
        <v>286</v>
      </c>
    </row>
    <row r="83" customFormat="false" ht="19.5" hidden="false" customHeight="true" outlineLevel="0" collapsed="false">
      <c r="A83" s="20" t="s">
        <v>109</v>
      </c>
      <c r="B83" s="20" t="s">
        <v>287</v>
      </c>
      <c r="C83" s="20" t="s">
        <v>102</v>
      </c>
      <c r="D83" s="20" t="n">
        <v>0.006</v>
      </c>
      <c r="E83" s="20" t="n">
        <v>0.001</v>
      </c>
      <c r="F83" s="16"/>
      <c r="G83" s="16"/>
      <c r="H83" s="17" t="n">
        <f aca="false">IFERROR(IF(F83&gt;0,F83*D83,IF(G83&gt;0,G83*E83,0)),0)</f>
        <v>0</v>
      </c>
      <c r="I83" s="21" t="s">
        <v>103</v>
      </c>
      <c r="J83" s="21" t="s">
        <v>136</v>
      </c>
      <c r="K83" s="22" t="s">
        <v>288</v>
      </c>
    </row>
    <row r="84" customFormat="false" ht="19.5" hidden="false" customHeight="true" outlineLevel="0" collapsed="false">
      <c r="A84" s="15" t="s">
        <v>109</v>
      </c>
      <c r="B84" s="15" t="s">
        <v>289</v>
      </c>
      <c r="C84" s="15" t="s">
        <v>102</v>
      </c>
      <c r="D84" s="15" t="n">
        <v>0.005</v>
      </c>
      <c r="E84" s="15" t="n">
        <v>0.001</v>
      </c>
      <c r="F84" s="16"/>
      <c r="G84" s="16"/>
      <c r="H84" s="17" t="n">
        <f aca="false">IFERROR(IF(F84&gt;0,F84*D84,IF(G84&gt;0,G84*E84,0)),0)</f>
        <v>0</v>
      </c>
      <c r="I84" s="18" t="s">
        <v>103</v>
      </c>
      <c r="J84" s="18" t="s">
        <v>136</v>
      </c>
      <c r="K84" s="19" t="s">
        <v>290</v>
      </c>
    </row>
    <row r="85" customFormat="false" ht="19.5" hidden="false" customHeight="true" outlineLevel="0" collapsed="false">
      <c r="A85" s="20" t="s">
        <v>109</v>
      </c>
      <c r="B85" s="20" t="s">
        <v>291</v>
      </c>
      <c r="C85" s="20" t="s">
        <v>102</v>
      </c>
      <c r="D85" s="20" t="n">
        <v>0.87</v>
      </c>
      <c r="E85" s="20" t="n">
        <v>0.018</v>
      </c>
      <c r="F85" s="16"/>
      <c r="G85" s="16"/>
      <c r="H85" s="17" t="n">
        <f aca="false">IFERROR(IF(F85&gt;0,F85*D85,IF(G85&gt;0,G85*E85,0)),0)</f>
        <v>0</v>
      </c>
      <c r="I85" s="21" t="s">
        <v>103</v>
      </c>
      <c r="J85" s="21" t="s">
        <v>292</v>
      </c>
      <c r="K85" s="22" t="s">
        <v>293</v>
      </c>
    </row>
    <row r="86" customFormat="false" ht="19.5" hidden="false" customHeight="true" outlineLevel="0" collapsed="false">
      <c r="A86" s="15" t="s">
        <v>109</v>
      </c>
      <c r="B86" s="15" t="s">
        <v>294</v>
      </c>
      <c r="C86" s="15" t="s">
        <v>102</v>
      </c>
      <c r="D86" s="15" t="n">
        <v>0.95</v>
      </c>
      <c r="E86" s="15" t="n">
        <v>0.02</v>
      </c>
      <c r="F86" s="16"/>
      <c r="G86" s="16"/>
      <c r="H86" s="17" t="n">
        <f aca="false">IFERROR(IF(F86&gt;0,F86*D86,IF(G86&gt;0,G86*E86,0)),0)</f>
        <v>0</v>
      </c>
      <c r="I86" s="18" t="s">
        <v>103</v>
      </c>
      <c r="J86" s="18" t="s">
        <v>292</v>
      </c>
      <c r="K86" s="19" t="s">
        <v>295</v>
      </c>
    </row>
    <row r="87" customFormat="false" ht="19.5" hidden="false" customHeight="true" outlineLevel="0" collapsed="false">
      <c r="A87" s="20" t="s">
        <v>109</v>
      </c>
      <c r="B87" s="20" t="s">
        <v>296</v>
      </c>
      <c r="C87" s="20" t="s">
        <v>218</v>
      </c>
      <c r="D87" s="20" t="n">
        <v>0.00085</v>
      </c>
      <c r="E87" s="20" t="n">
        <v>1.8E-005</v>
      </c>
      <c r="F87" s="16"/>
      <c r="G87" s="16"/>
      <c r="H87" s="17" t="n">
        <f aca="false">IFERROR(IF(F87&gt;0,F87*D87,IF(G87&gt;0,G87*E87,0)),0)</f>
        <v>0</v>
      </c>
      <c r="I87" s="21" t="s">
        <v>103</v>
      </c>
      <c r="J87" s="21" t="s">
        <v>256</v>
      </c>
      <c r="K87" s="22" t="s">
        <v>297</v>
      </c>
    </row>
    <row r="88" customFormat="false" ht="19.5" hidden="false" customHeight="true" outlineLevel="0" collapsed="false">
      <c r="A88" s="15" t="s">
        <v>109</v>
      </c>
      <c r="B88" s="15" t="s">
        <v>298</v>
      </c>
      <c r="C88" s="15" t="s">
        <v>273</v>
      </c>
      <c r="D88" s="15" t="n">
        <v>0.45</v>
      </c>
      <c r="E88" s="15" t="n">
        <v>0.012</v>
      </c>
      <c r="F88" s="16"/>
      <c r="G88" s="16"/>
      <c r="H88" s="17" t="n">
        <f aca="false">IFERROR(IF(F88&gt;0,F88*D88,IF(G88&gt;0,G88*E88,0)),0)</f>
        <v>0</v>
      </c>
      <c r="I88" s="18" t="s">
        <v>103</v>
      </c>
      <c r="J88" s="18" t="s">
        <v>136</v>
      </c>
      <c r="K88" s="19" t="s">
        <v>299</v>
      </c>
    </row>
    <row r="89" customFormat="false" ht="18" hidden="false" customHeight="true" outlineLevel="0" collapsed="false">
      <c r="A89" s="14" t="s">
        <v>300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customFormat="false" ht="19.5" hidden="false" customHeight="true" outlineLevel="0" collapsed="false">
      <c r="A90" s="15" t="s">
        <v>301</v>
      </c>
      <c r="B90" s="15" t="s">
        <v>302</v>
      </c>
      <c r="C90" s="15" t="s">
        <v>102</v>
      </c>
      <c r="D90" s="15" t="n">
        <v>0.52</v>
      </c>
      <c r="E90" s="15" t="n">
        <v>0.012</v>
      </c>
      <c r="F90" s="16"/>
      <c r="G90" s="16"/>
      <c r="H90" s="17" t="n">
        <f aca="false">IFERROR(IF(F90&gt;0,F90*D90,IF(G90&gt;0,G90*E90,0)),0)</f>
        <v>0</v>
      </c>
      <c r="I90" s="18" t="s">
        <v>103</v>
      </c>
      <c r="J90" s="18" t="s">
        <v>303</v>
      </c>
      <c r="K90" s="19" t="s">
        <v>304</v>
      </c>
    </row>
    <row r="91" customFormat="false" ht="19.5" hidden="false" customHeight="true" outlineLevel="0" collapsed="false">
      <c r="A91" s="20" t="s">
        <v>301</v>
      </c>
      <c r="B91" s="20" t="s">
        <v>305</v>
      </c>
      <c r="C91" s="20" t="s">
        <v>102</v>
      </c>
      <c r="D91" s="20" t="n">
        <v>2.7</v>
      </c>
      <c r="E91" s="20" t="n">
        <v>0.048</v>
      </c>
      <c r="F91" s="16"/>
      <c r="G91" s="16"/>
      <c r="H91" s="17" t="n">
        <f aca="false">IFERROR(IF(F91&gt;0,F91*D91,IF(G91&gt;0,G91*E91,0)),0)</f>
        <v>0</v>
      </c>
      <c r="I91" s="21" t="s">
        <v>103</v>
      </c>
      <c r="J91" s="21" t="s">
        <v>303</v>
      </c>
      <c r="K91" s="22" t="s">
        <v>306</v>
      </c>
    </row>
    <row r="92" customFormat="false" ht="19.5" hidden="false" customHeight="true" outlineLevel="0" collapsed="false">
      <c r="A92" s="15" t="s">
        <v>301</v>
      </c>
      <c r="B92" s="15" t="s">
        <v>307</v>
      </c>
      <c r="C92" s="15" t="s">
        <v>102</v>
      </c>
      <c r="D92" s="15" t="n">
        <v>0.45</v>
      </c>
      <c r="E92" s="15" t="n">
        <v>0.01</v>
      </c>
      <c r="F92" s="16"/>
      <c r="G92" s="16"/>
      <c r="H92" s="17" t="n">
        <f aca="false">IFERROR(IF(F92&gt;0,F92*D92,IF(G92&gt;0,G92*E92,0)),0)</f>
        <v>0</v>
      </c>
      <c r="I92" s="18" t="s">
        <v>103</v>
      </c>
      <c r="J92" s="18" t="s">
        <v>308</v>
      </c>
      <c r="K92" s="19" t="s">
        <v>309</v>
      </c>
    </row>
    <row r="93" customFormat="false" ht="19.5" hidden="false" customHeight="true" outlineLevel="0" collapsed="false">
      <c r="A93" s="20" t="s">
        <v>301</v>
      </c>
      <c r="B93" s="20" t="s">
        <v>310</v>
      </c>
      <c r="C93" s="20" t="s">
        <v>102</v>
      </c>
      <c r="D93" s="20" t="n">
        <v>0.65</v>
      </c>
      <c r="E93" s="20" t="n">
        <v>0.014</v>
      </c>
      <c r="F93" s="16"/>
      <c r="G93" s="16"/>
      <c r="H93" s="17" t="n">
        <f aca="false">IFERROR(IF(F93&gt;0,F93*D93,IF(G93&gt;0,G93*E93,0)),0)</f>
        <v>0</v>
      </c>
      <c r="I93" s="21" t="s">
        <v>103</v>
      </c>
      <c r="J93" s="21" t="s">
        <v>308</v>
      </c>
      <c r="K93" s="22" t="s">
        <v>311</v>
      </c>
    </row>
    <row r="94" customFormat="false" ht="19.5" hidden="false" customHeight="true" outlineLevel="0" collapsed="false">
      <c r="A94" s="15" t="s">
        <v>301</v>
      </c>
      <c r="B94" s="15" t="s">
        <v>312</v>
      </c>
      <c r="C94" s="15" t="s">
        <v>102</v>
      </c>
      <c r="D94" s="15" t="n">
        <v>6.8</v>
      </c>
      <c r="E94" s="15" t="n">
        <v>0.11</v>
      </c>
      <c r="F94" s="16"/>
      <c r="G94" s="16"/>
      <c r="H94" s="17" t="n">
        <f aca="false">IFERROR(IF(F94&gt;0,F94*D94,IF(G94&gt;0,G94*E94,0)),0)</f>
        <v>0</v>
      </c>
      <c r="I94" s="18" t="s">
        <v>103</v>
      </c>
      <c r="J94" s="18" t="s">
        <v>313</v>
      </c>
      <c r="K94" s="19" t="s">
        <v>314</v>
      </c>
    </row>
    <row r="95" customFormat="false" ht="19.5" hidden="false" customHeight="true" outlineLevel="0" collapsed="false">
      <c r="A95" s="20" t="s">
        <v>301</v>
      </c>
      <c r="B95" s="20" t="s">
        <v>315</v>
      </c>
      <c r="C95" s="20" t="s">
        <v>102</v>
      </c>
      <c r="D95" s="20" t="n">
        <v>2.2</v>
      </c>
      <c r="E95" s="20" t="n">
        <v>0.038</v>
      </c>
      <c r="F95" s="16"/>
      <c r="G95" s="16"/>
      <c r="H95" s="17" t="n">
        <f aca="false">IFERROR(IF(F95&gt;0,F95*D95,IF(G95&gt;0,G95*E95,0)),0)</f>
        <v>0</v>
      </c>
      <c r="I95" s="21" t="s">
        <v>103</v>
      </c>
      <c r="J95" s="21" t="s">
        <v>316</v>
      </c>
      <c r="K95" s="22" t="s">
        <v>317</v>
      </c>
    </row>
    <row r="96" customFormat="false" ht="19.5" hidden="false" customHeight="true" outlineLevel="0" collapsed="false">
      <c r="A96" s="15" t="s">
        <v>301</v>
      </c>
      <c r="B96" s="15" t="s">
        <v>318</v>
      </c>
      <c r="C96" s="15" t="s">
        <v>102</v>
      </c>
      <c r="D96" s="15" t="n">
        <v>1.85</v>
      </c>
      <c r="E96" s="15" t="n">
        <v>0.032</v>
      </c>
      <c r="F96" s="16"/>
      <c r="G96" s="16"/>
      <c r="H96" s="17" t="n">
        <f aca="false">IFERROR(IF(F96&gt;0,F96*D96,IF(G96&gt;0,G96*E96,0)),0)</f>
        <v>0</v>
      </c>
      <c r="I96" s="18" t="s">
        <v>103</v>
      </c>
      <c r="J96" s="18" t="s">
        <v>136</v>
      </c>
      <c r="K96" s="19" t="s">
        <v>319</v>
      </c>
    </row>
    <row r="97" customFormat="false" ht="19.5" hidden="false" customHeight="true" outlineLevel="0" collapsed="false">
      <c r="A97" s="20" t="s">
        <v>301</v>
      </c>
      <c r="B97" s="20" t="s">
        <v>320</v>
      </c>
      <c r="C97" s="20" t="s">
        <v>102</v>
      </c>
      <c r="D97" s="20" t="n">
        <v>0.62</v>
      </c>
      <c r="E97" s="20" t="n">
        <v>0.014</v>
      </c>
      <c r="F97" s="16"/>
      <c r="G97" s="16"/>
      <c r="H97" s="17" t="n">
        <f aca="false">IFERROR(IF(F97&gt;0,F97*D97,IF(G97&gt;0,G97*E97,0)),0)</f>
        <v>0</v>
      </c>
      <c r="I97" s="21" t="s">
        <v>103</v>
      </c>
      <c r="J97" s="21" t="s">
        <v>321</v>
      </c>
      <c r="K97" s="22" t="s">
        <v>322</v>
      </c>
    </row>
    <row r="98" customFormat="false" ht="19.5" hidden="false" customHeight="true" outlineLevel="0" collapsed="false">
      <c r="A98" s="15" t="s">
        <v>301</v>
      </c>
      <c r="B98" s="15" t="s">
        <v>323</v>
      </c>
      <c r="C98" s="15" t="s">
        <v>102</v>
      </c>
      <c r="D98" s="15" t="n">
        <v>3.2</v>
      </c>
      <c r="E98" s="15" t="n">
        <v>0.055</v>
      </c>
      <c r="F98" s="16"/>
      <c r="G98" s="16"/>
      <c r="H98" s="17" t="n">
        <f aca="false">IFERROR(IF(F98&gt;0,F98*D98,IF(G98&gt;0,G98*E98,0)),0)</f>
        <v>0</v>
      </c>
      <c r="I98" s="18" t="s">
        <v>103</v>
      </c>
      <c r="J98" s="18" t="s">
        <v>324</v>
      </c>
      <c r="K98" s="19" t="s">
        <v>325</v>
      </c>
    </row>
    <row r="99" customFormat="false" ht="19.5" hidden="false" customHeight="true" outlineLevel="0" collapsed="false">
      <c r="A99" s="20" t="s">
        <v>301</v>
      </c>
      <c r="B99" s="20" t="s">
        <v>326</v>
      </c>
      <c r="C99" s="20" t="s">
        <v>218</v>
      </c>
      <c r="D99" s="20" t="n">
        <v>0.027</v>
      </c>
      <c r="E99" s="20" t="n">
        <v>0.00048</v>
      </c>
      <c r="F99" s="16"/>
      <c r="G99" s="16"/>
      <c r="H99" s="17" t="n">
        <f aca="false">IFERROR(IF(F99&gt;0,F99*D99,IF(G99&gt;0,G99*E99,0)),0)</f>
        <v>0</v>
      </c>
      <c r="I99" s="21" t="s">
        <v>103</v>
      </c>
      <c r="J99" s="21" t="s">
        <v>303</v>
      </c>
      <c r="K99" s="22" t="s">
        <v>327</v>
      </c>
    </row>
    <row r="100" customFormat="false" ht="19.5" hidden="false" customHeight="true" outlineLevel="0" collapsed="false">
      <c r="A100" s="15" t="s">
        <v>301</v>
      </c>
      <c r="B100" s="15" t="s">
        <v>328</v>
      </c>
      <c r="C100" s="15" t="s">
        <v>218</v>
      </c>
      <c r="D100" s="15" t="n">
        <v>0.0068</v>
      </c>
      <c r="E100" s="15" t="n">
        <v>0.00012</v>
      </c>
      <c r="F100" s="16"/>
      <c r="G100" s="16"/>
      <c r="H100" s="17" t="n">
        <f aca="false">IFERROR(IF(F100&gt;0,F100*D100,IF(G100&gt;0,G100*E100,0)),0)</f>
        <v>0</v>
      </c>
      <c r="I100" s="18" t="s">
        <v>103</v>
      </c>
      <c r="J100" s="18" t="s">
        <v>308</v>
      </c>
      <c r="K100" s="19" t="s">
        <v>329</v>
      </c>
    </row>
    <row r="101" customFormat="false" ht="19.5" hidden="false" customHeight="true" outlineLevel="0" collapsed="false">
      <c r="A101" s="20" t="s">
        <v>301</v>
      </c>
      <c r="B101" s="20" t="s">
        <v>330</v>
      </c>
      <c r="C101" s="20" t="s">
        <v>218</v>
      </c>
      <c r="D101" s="20" t="n">
        <v>0.011</v>
      </c>
      <c r="E101" s="20" t="n">
        <v>0.000195</v>
      </c>
      <c r="F101" s="16"/>
      <c r="G101" s="16"/>
      <c r="H101" s="17" t="n">
        <f aca="false">IFERROR(IF(F101&gt;0,F101*D101,IF(G101&gt;0,G101*E101,0)),0)</f>
        <v>0</v>
      </c>
      <c r="I101" s="21" t="s">
        <v>103</v>
      </c>
      <c r="J101" s="21" t="s">
        <v>136</v>
      </c>
      <c r="K101" s="22" t="s">
        <v>331</v>
      </c>
    </row>
    <row r="102" customFormat="false" ht="19.5" hidden="false" customHeight="true" outlineLevel="0" collapsed="false">
      <c r="A102" s="15" t="s">
        <v>301</v>
      </c>
      <c r="B102" s="15" t="s">
        <v>332</v>
      </c>
      <c r="C102" s="15" t="s">
        <v>102</v>
      </c>
      <c r="D102" s="15" t="n">
        <v>0.15</v>
      </c>
      <c r="E102" s="15" t="n">
        <v>0.003</v>
      </c>
      <c r="F102" s="16"/>
      <c r="G102" s="16"/>
      <c r="H102" s="17" t="n">
        <f aca="false">IFERROR(IF(F102&gt;0,F102*D102,IF(G102&gt;0,G102*E102,0)),0)</f>
        <v>0</v>
      </c>
      <c r="I102" s="18" t="s">
        <v>103</v>
      </c>
      <c r="J102" s="18" t="s">
        <v>136</v>
      </c>
      <c r="K102" s="19" t="s">
        <v>333</v>
      </c>
    </row>
    <row r="103" customFormat="false" ht="19.5" hidden="false" customHeight="true" outlineLevel="0" collapsed="false">
      <c r="A103" s="20" t="s">
        <v>301</v>
      </c>
      <c r="B103" s="20" t="s">
        <v>334</v>
      </c>
      <c r="C103" s="20" t="s">
        <v>102</v>
      </c>
      <c r="D103" s="20" t="n">
        <v>3.8</v>
      </c>
      <c r="E103" s="20" t="n">
        <v>0.065</v>
      </c>
      <c r="F103" s="16"/>
      <c r="G103" s="16"/>
      <c r="H103" s="17" t="n">
        <f aca="false">IFERROR(IF(F103&gt;0,F103*D103,IF(G103&gt;0,G103*E103,0)),0)</f>
        <v>0</v>
      </c>
      <c r="I103" s="21" t="s">
        <v>103</v>
      </c>
      <c r="J103" s="21" t="s">
        <v>335</v>
      </c>
      <c r="K103" s="22" t="s">
        <v>336</v>
      </c>
    </row>
    <row r="104" customFormat="false" ht="19.5" hidden="false" customHeight="true" outlineLevel="0" collapsed="false">
      <c r="A104" s="15" t="s">
        <v>301</v>
      </c>
      <c r="B104" s="15" t="s">
        <v>337</v>
      </c>
      <c r="C104" s="15" t="s">
        <v>102</v>
      </c>
      <c r="D104" s="15" t="n">
        <v>9.6</v>
      </c>
      <c r="E104" s="15" t="n">
        <v>0.155</v>
      </c>
      <c r="F104" s="16"/>
      <c r="G104" s="16"/>
      <c r="H104" s="17" t="n">
        <f aca="false">IFERROR(IF(F104&gt;0,F104*D104,IF(G104&gt;0,G104*E104,0)),0)</f>
        <v>0</v>
      </c>
      <c r="I104" s="18" t="s">
        <v>103</v>
      </c>
      <c r="J104" s="18" t="s">
        <v>338</v>
      </c>
      <c r="K104" s="19" t="s">
        <v>339</v>
      </c>
    </row>
    <row r="105" customFormat="false" ht="18" hidden="false" customHeight="true" outlineLevel="0" collapsed="false">
      <c r="A105" s="14" t="s">
        <v>340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customFormat="false" ht="19.5" hidden="false" customHeight="true" outlineLevel="0" collapsed="false">
      <c r="A106" s="15" t="s">
        <v>341</v>
      </c>
      <c r="B106" s="15" t="s">
        <v>342</v>
      </c>
      <c r="C106" s="15" t="s">
        <v>148</v>
      </c>
      <c r="D106" s="15" t="s">
        <v>149</v>
      </c>
      <c r="E106" s="15" t="n">
        <v>0.045</v>
      </c>
      <c r="F106" s="16"/>
      <c r="G106" s="16"/>
      <c r="H106" s="17" t="n">
        <f aca="false">IFERROR(IF(F106&gt;0,F106*D106,IF(G106&gt;0,G106*E106,0)),0)</f>
        <v>0</v>
      </c>
      <c r="I106" s="18" t="s">
        <v>150</v>
      </c>
      <c r="J106" s="18" t="s">
        <v>151</v>
      </c>
      <c r="K106" s="19" t="s">
        <v>343</v>
      </c>
    </row>
    <row r="107" customFormat="false" ht="19.5" hidden="false" customHeight="true" outlineLevel="0" collapsed="false">
      <c r="A107" s="20" t="s">
        <v>341</v>
      </c>
      <c r="B107" s="20" t="s">
        <v>344</v>
      </c>
      <c r="C107" s="20" t="s">
        <v>148</v>
      </c>
      <c r="D107" s="20" t="s">
        <v>149</v>
      </c>
      <c r="E107" s="20" t="n">
        <v>0.018</v>
      </c>
      <c r="F107" s="16"/>
      <c r="G107" s="16"/>
      <c r="H107" s="17" t="n">
        <f aca="false">IFERROR(IF(F107&gt;0,F107*D107,IF(G107&gt;0,G107*E107,0)),0)</f>
        <v>0</v>
      </c>
      <c r="I107" s="21" t="s">
        <v>150</v>
      </c>
      <c r="J107" s="21" t="s">
        <v>151</v>
      </c>
      <c r="K107" s="22" t="s">
        <v>345</v>
      </c>
    </row>
    <row r="108" customFormat="false" ht="19.5" hidden="false" customHeight="true" outlineLevel="0" collapsed="false">
      <c r="A108" s="15" t="s">
        <v>341</v>
      </c>
      <c r="B108" s="15" t="s">
        <v>346</v>
      </c>
      <c r="C108" s="15" t="s">
        <v>148</v>
      </c>
      <c r="D108" s="15" t="s">
        <v>149</v>
      </c>
      <c r="E108" s="15" t="n">
        <v>0.038</v>
      </c>
      <c r="F108" s="16"/>
      <c r="G108" s="16"/>
      <c r="H108" s="17" t="n">
        <f aca="false">IFERROR(IF(F108&gt;0,F108*D108,IF(G108&gt;0,G108*E108,0)),0)</f>
        <v>0</v>
      </c>
      <c r="I108" s="18" t="s">
        <v>150</v>
      </c>
      <c r="J108" s="18" t="s">
        <v>151</v>
      </c>
      <c r="K108" s="19" t="s">
        <v>347</v>
      </c>
    </row>
    <row r="109" customFormat="false" ht="19.5" hidden="false" customHeight="true" outlineLevel="0" collapsed="false">
      <c r="A109" s="20" t="s">
        <v>341</v>
      </c>
      <c r="B109" s="20" t="s">
        <v>348</v>
      </c>
      <c r="C109" s="20" t="s">
        <v>148</v>
      </c>
      <c r="D109" s="20" t="s">
        <v>149</v>
      </c>
      <c r="E109" s="20" t="n">
        <v>0.025</v>
      </c>
      <c r="F109" s="16"/>
      <c r="G109" s="16"/>
      <c r="H109" s="17" t="n">
        <f aca="false">IFERROR(IF(F109&gt;0,F109*D109,IF(G109&gt;0,G109*E109,0)),0)</f>
        <v>0</v>
      </c>
      <c r="I109" s="21" t="s">
        <v>150</v>
      </c>
      <c r="J109" s="21" t="s">
        <v>151</v>
      </c>
      <c r="K109" s="22" t="s">
        <v>349</v>
      </c>
    </row>
    <row r="110" customFormat="false" ht="19.5" hidden="false" customHeight="true" outlineLevel="0" collapsed="false">
      <c r="A110" s="15" t="s">
        <v>341</v>
      </c>
      <c r="B110" s="15" t="s">
        <v>350</v>
      </c>
      <c r="C110" s="15" t="s">
        <v>148</v>
      </c>
      <c r="D110" s="15" t="s">
        <v>149</v>
      </c>
      <c r="E110" s="15" t="n">
        <v>0.022</v>
      </c>
      <c r="F110" s="16"/>
      <c r="G110" s="16"/>
      <c r="H110" s="17" t="n">
        <f aca="false">IFERROR(IF(F110&gt;0,F110*D110,IF(G110&gt;0,G110*E110,0)),0)</f>
        <v>0</v>
      </c>
      <c r="I110" s="18" t="s">
        <v>150</v>
      </c>
      <c r="J110" s="18" t="s">
        <v>151</v>
      </c>
      <c r="K110" s="19" t="s">
        <v>351</v>
      </c>
    </row>
    <row r="111" customFormat="false" ht="19.5" hidden="false" customHeight="true" outlineLevel="0" collapsed="false">
      <c r="A111" s="20" t="s">
        <v>341</v>
      </c>
      <c r="B111" s="20" t="s">
        <v>352</v>
      </c>
      <c r="C111" s="20" t="s">
        <v>148</v>
      </c>
      <c r="D111" s="20" t="s">
        <v>149</v>
      </c>
      <c r="E111" s="20" t="n">
        <v>0.028</v>
      </c>
      <c r="F111" s="16"/>
      <c r="G111" s="16"/>
      <c r="H111" s="17" t="n">
        <f aca="false">IFERROR(IF(F111&gt;0,F111*D111,IF(G111&gt;0,G111*E111,0)),0)</f>
        <v>0</v>
      </c>
      <c r="I111" s="21" t="s">
        <v>150</v>
      </c>
      <c r="J111" s="21" t="s">
        <v>151</v>
      </c>
      <c r="K111" s="22" t="s">
        <v>353</v>
      </c>
    </row>
    <row r="112" customFormat="false" ht="18" hidden="false" customHeight="true" outlineLevel="0" collapsed="false">
      <c r="A112" s="14" t="s">
        <v>354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 customFormat="false" ht="19.5" hidden="false" customHeight="true" outlineLevel="0" collapsed="false">
      <c r="A113" s="15" t="s">
        <v>355</v>
      </c>
      <c r="B113" s="15" t="s">
        <v>356</v>
      </c>
      <c r="C113" s="15" t="s">
        <v>148</v>
      </c>
      <c r="D113" s="15" t="s">
        <v>149</v>
      </c>
      <c r="E113" s="15" t="n">
        <v>0.003</v>
      </c>
      <c r="F113" s="16"/>
      <c r="G113" s="16"/>
      <c r="H113" s="17" t="n">
        <f aca="false">IFERROR(IF(F113&gt;0,F113*D113,IF(G113&gt;0,G113*E113,0)),0)</f>
        <v>0</v>
      </c>
      <c r="I113" s="18" t="s">
        <v>150</v>
      </c>
      <c r="J113" s="18" t="s">
        <v>151</v>
      </c>
      <c r="K113" s="19" t="s">
        <v>357</v>
      </c>
    </row>
    <row r="114" customFormat="false" ht="19.5" hidden="false" customHeight="true" outlineLevel="0" collapsed="false">
      <c r="A114" s="20" t="s">
        <v>355</v>
      </c>
      <c r="B114" s="20" t="s">
        <v>358</v>
      </c>
      <c r="C114" s="20" t="s">
        <v>148</v>
      </c>
      <c r="D114" s="20" t="s">
        <v>149</v>
      </c>
      <c r="E114" s="20" t="n">
        <v>0.002</v>
      </c>
      <c r="F114" s="16"/>
      <c r="G114" s="16"/>
      <c r="H114" s="17" t="n">
        <f aca="false">IFERROR(IF(F114&gt;0,F114*D114,IF(G114&gt;0,G114*E114,0)),0)</f>
        <v>0</v>
      </c>
      <c r="I114" s="21" t="s">
        <v>150</v>
      </c>
      <c r="J114" s="21" t="s">
        <v>151</v>
      </c>
      <c r="K114" s="22" t="s">
        <v>359</v>
      </c>
    </row>
    <row r="115" customFormat="false" ht="19.5" hidden="false" customHeight="true" outlineLevel="0" collapsed="false">
      <c r="A115" s="15" t="s">
        <v>355</v>
      </c>
      <c r="B115" s="15" t="s">
        <v>360</v>
      </c>
      <c r="C115" s="15" t="s">
        <v>237</v>
      </c>
      <c r="D115" s="15" t="n">
        <v>0.35</v>
      </c>
      <c r="E115" s="15" t="n">
        <v>0.006</v>
      </c>
      <c r="F115" s="16"/>
      <c r="G115" s="16"/>
      <c r="H115" s="17" t="n">
        <f aca="false">IFERROR(IF(F115&gt;0,F115*D115,IF(G115&gt;0,G115*E115,0)),0)</f>
        <v>0</v>
      </c>
      <c r="I115" s="18" t="s">
        <v>103</v>
      </c>
      <c r="J115" s="18" t="s">
        <v>361</v>
      </c>
      <c r="K115" s="19" t="s">
        <v>362</v>
      </c>
    </row>
    <row r="116" customFormat="false" ht="19.5" hidden="false" customHeight="true" outlineLevel="0" collapsed="false">
      <c r="A116" s="20" t="s">
        <v>355</v>
      </c>
      <c r="B116" s="20" t="s">
        <v>363</v>
      </c>
      <c r="C116" s="20" t="s">
        <v>237</v>
      </c>
      <c r="D116" s="20" t="n">
        <v>1.5</v>
      </c>
      <c r="E116" s="20" t="n">
        <v>0.025</v>
      </c>
      <c r="F116" s="16"/>
      <c r="G116" s="16"/>
      <c r="H116" s="17" t="n">
        <f aca="false">IFERROR(IF(F116&gt;0,F116*D116,IF(G116&gt;0,G116*E116,0)),0)</f>
        <v>0</v>
      </c>
      <c r="I116" s="21" t="s">
        <v>103</v>
      </c>
      <c r="J116" s="21" t="s">
        <v>361</v>
      </c>
      <c r="K116" s="22" t="s">
        <v>364</v>
      </c>
    </row>
    <row r="117" customFormat="false" ht="19.5" hidden="false" customHeight="true" outlineLevel="0" collapsed="false">
      <c r="A117" s="15" t="s">
        <v>355</v>
      </c>
      <c r="B117" s="15" t="s">
        <v>365</v>
      </c>
      <c r="C117" s="15" t="s">
        <v>148</v>
      </c>
      <c r="D117" s="15" t="s">
        <v>149</v>
      </c>
      <c r="E117" s="15" t="n">
        <v>0.004</v>
      </c>
      <c r="F117" s="16"/>
      <c r="G117" s="16"/>
      <c r="H117" s="17" t="n">
        <f aca="false">IFERROR(IF(F117&gt;0,F117*D117,IF(G117&gt;0,G117*E117,0)),0)</f>
        <v>0</v>
      </c>
      <c r="I117" s="18" t="s">
        <v>150</v>
      </c>
      <c r="J117" s="18" t="s">
        <v>151</v>
      </c>
      <c r="K117" s="19" t="s">
        <v>366</v>
      </c>
    </row>
    <row r="118" customFormat="false" ht="18" hidden="false" customHeight="true" outlineLevel="0" collapsed="false">
      <c r="A118" s="14" t="s">
        <v>367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 customFormat="false" ht="19.5" hidden="false" customHeight="true" outlineLevel="0" collapsed="false">
      <c r="A119" s="15" t="s">
        <v>368</v>
      </c>
      <c r="B119" s="15" t="s">
        <v>369</v>
      </c>
      <c r="C119" s="15" t="s">
        <v>148</v>
      </c>
      <c r="D119" s="15" t="s">
        <v>149</v>
      </c>
      <c r="E119" s="15" t="n">
        <v>0.012</v>
      </c>
      <c r="F119" s="16"/>
      <c r="G119" s="16"/>
      <c r="H119" s="17" t="n">
        <f aca="false">IFERROR(IF(F119&gt;0,F119*D119,IF(G119&gt;0,G119*E119,0)),0)</f>
        <v>0</v>
      </c>
      <c r="I119" s="18" t="s">
        <v>150</v>
      </c>
      <c r="J119" s="18" t="s">
        <v>370</v>
      </c>
      <c r="K119" s="19" t="s">
        <v>371</v>
      </c>
    </row>
    <row r="120" customFormat="false" ht="19.5" hidden="false" customHeight="true" outlineLevel="0" collapsed="false">
      <c r="A120" s="20" t="s">
        <v>368</v>
      </c>
      <c r="B120" s="20" t="s">
        <v>372</v>
      </c>
      <c r="C120" s="20" t="s">
        <v>148</v>
      </c>
      <c r="D120" s="20" t="s">
        <v>149</v>
      </c>
      <c r="E120" s="20" t="n">
        <v>0.01</v>
      </c>
      <c r="F120" s="16"/>
      <c r="G120" s="16"/>
      <c r="H120" s="17" t="n">
        <f aca="false">IFERROR(IF(F120&gt;0,F120*D120,IF(G120&gt;0,G120*E120,0)),0)</f>
        <v>0</v>
      </c>
      <c r="I120" s="21" t="s">
        <v>150</v>
      </c>
      <c r="J120" s="21" t="s">
        <v>370</v>
      </c>
      <c r="K120" s="22" t="s">
        <v>373</v>
      </c>
    </row>
    <row r="121" customFormat="false" ht="19.5" hidden="false" customHeight="true" outlineLevel="0" collapsed="false">
      <c r="A121" s="15" t="s">
        <v>368</v>
      </c>
      <c r="B121" s="15" t="s">
        <v>374</v>
      </c>
      <c r="C121" s="15" t="s">
        <v>148</v>
      </c>
      <c r="D121" s="15" t="s">
        <v>149</v>
      </c>
      <c r="E121" s="15" t="n">
        <v>0.018</v>
      </c>
      <c r="F121" s="16"/>
      <c r="G121" s="16"/>
      <c r="H121" s="17" t="n">
        <f aca="false">IFERROR(IF(F121&gt;0,F121*D121,IF(G121&gt;0,G121*E121,0)),0)</f>
        <v>0</v>
      </c>
      <c r="I121" s="18" t="s">
        <v>150</v>
      </c>
      <c r="J121" s="18" t="s">
        <v>151</v>
      </c>
      <c r="K121" s="19" t="s">
        <v>375</v>
      </c>
    </row>
    <row r="122" customFormat="false" ht="19.5" hidden="false" customHeight="true" outlineLevel="0" collapsed="false">
      <c r="A122" s="20" t="s">
        <v>368</v>
      </c>
      <c r="B122" s="20" t="s">
        <v>376</v>
      </c>
      <c r="C122" s="20" t="s">
        <v>148</v>
      </c>
      <c r="D122" s="20" t="s">
        <v>149</v>
      </c>
      <c r="E122" s="20" t="n">
        <v>0.025</v>
      </c>
      <c r="F122" s="16"/>
      <c r="G122" s="16"/>
      <c r="H122" s="17" t="n">
        <f aca="false">IFERROR(IF(F122&gt;0,F122*D122,IF(G122&gt;0,G122*E122,0)),0)</f>
        <v>0</v>
      </c>
      <c r="I122" s="21" t="s">
        <v>150</v>
      </c>
      <c r="J122" s="21" t="s">
        <v>151</v>
      </c>
      <c r="K122" s="22" t="s">
        <v>377</v>
      </c>
    </row>
    <row r="123" customFormat="false" ht="19.5" hidden="false" customHeight="true" outlineLevel="0" collapsed="false">
      <c r="A123" s="15" t="s">
        <v>368</v>
      </c>
      <c r="B123" s="15" t="s">
        <v>378</v>
      </c>
      <c r="C123" s="15" t="s">
        <v>148</v>
      </c>
      <c r="D123" s="15" t="s">
        <v>149</v>
      </c>
      <c r="E123" s="15" t="n">
        <v>0.008</v>
      </c>
      <c r="F123" s="16"/>
      <c r="G123" s="16"/>
      <c r="H123" s="17" t="n">
        <f aca="false">IFERROR(IF(F123&gt;0,F123*D123,IF(G123&gt;0,G123*E123,0)),0)</f>
        <v>0</v>
      </c>
      <c r="I123" s="18" t="s">
        <v>150</v>
      </c>
      <c r="J123" s="18" t="s">
        <v>151</v>
      </c>
      <c r="K123" s="19" t="s">
        <v>379</v>
      </c>
    </row>
    <row r="124" customFormat="false" ht="18" hidden="false" customHeight="true" outlineLevel="0" collapsed="false">
      <c r="A124" s="14" t="s">
        <v>380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 customFormat="false" ht="19.5" hidden="false" customHeight="true" outlineLevel="0" collapsed="false">
      <c r="A125" s="15" t="s">
        <v>381</v>
      </c>
      <c r="B125" s="15" t="s">
        <v>382</v>
      </c>
      <c r="C125" s="15" t="s">
        <v>273</v>
      </c>
      <c r="D125" s="15" t="n">
        <v>0.000344</v>
      </c>
      <c r="E125" s="15" t="n">
        <v>8E-006</v>
      </c>
      <c r="F125" s="16"/>
      <c r="G125" s="16"/>
      <c r="H125" s="17" t="n">
        <f aca="false">IFERROR(IF(F125&gt;0,F125*D125,IF(G125&gt;0,G125*E125,0)),0)</f>
        <v>0</v>
      </c>
      <c r="I125" s="18" t="s">
        <v>103</v>
      </c>
      <c r="J125" s="18" t="s">
        <v>383</v>
      </c>
      <c r="K125" s="19" t="s">
        <v>384</v>
      </c>
    </row>
    <row r="126" customFormat="false" ht="19.5" hidden="false" customHeight="true" outlineLevel="0" collapsed="false">
      <c r="A126" s="20" t="s">
        <v>381</v>
      </c>
      <c r="B126" s="20" t="s">
        <v>385</v>
      </c>
      <c r="C126" s="20" t="s">
        <v>273</v>
      </c>
      <c r="D126" s="20" t="n">
        <v>0.00021</v>
      </c>
      <c r="E126" s="20" t="n">
        <v>5E-006</v>
      </c>
      <c r="F126" s="16"/>
      <c r="G126" s="16"/>
      <c r="H126" s="17" t="n">
        <f aca="false">IFERROR(IF(F126&gt;0,F126*D126,IF(G126&gt;0,G126*E126,0)),0)</f>
        <v>0</v>
      </c>
      <c r="I126" s="21" t="s">
        <v>103</v>
      </c>
      <c r="J126" s="21" t="s">
        <v>136</v>
      </c>
      <c r="K126" s="22" t="s">
        <v>386</v>
      </c>
    </row>
    <row r="127" customFormat="false" ht="19.5" hidden="false" customHeight="true" outlineLevel="0" collapsed="false">
      <c r="A127" s="15" t="s">
        <v>381</v>
      </c>
      <c r="B127" s="15" t="s">
        <v>387</v>
      </c>
      <c r="C127" s="15" t="s">
        <v>388</v>
      </c>
      <c r="D127" s="15" t="n">
        <v>0.085</v>
      </c>
      <c r="E127" s="15" t="n">
        <v>0.002</v>
      </c>
      <c r="F127" s="16"/>
      <c r="G127" s="16"/>
      <c r="H127" s="17" t="n">
        <f aca="false">IFERROR(IF(F127&gt;0,F127*D127,IF(G127&gt;0,G127*E127,0)),0)</f>
        <v>0</v>
      </c>
      <c r="I127" s="18" t="s">
        <v>103</v>
      </c>
      <c r="J127" s="18" t="s">
        <v>389</v>
      </c>
      <c r="K127" s="19" t="s">
        <v>390</v>
      </c>
    </row>
    <row r="128" customFormat="false" ht="19.5" hidden="false" customHeight="true" outlineLevel="0" collapsed="false">
      <c r="A128" s="20" t="s">
        <v>381</v>
      </c>
      <c r="B128" s="20" t="s">
        <v>391</v>
      </c>
      <c r="C128" s="20" t="s">
        <v>102</v>
      </c>
      <c r="D128" s="20" t="n">
        <v>1.6</v>
      </c>
      <c r="E128" s="20" t="n">
        <v>0.03</v>
      </c>
      <c r="F128" s="16"/>
      <c r="G128" s="16"/>
      <c r="H128" s="17" t="n">
        <f aca="false">IFERROR(IF(F128&gt;0,F128*D128,IF(G128&gt;0,G128*E128,0)),0)</f>
        <v>0</v>
      </c>
      <c r="I128" s="21" t="s">
        <v>103</v>
      </c>
      <c r="J128" s="21" t="s">
        <v>136</v>
      </c>
      <c r="K128" s="22" t="s">
        <v>392</v>
      </c>
    </row>
    <row r="129" customFormat="false" ht="19.5" hidden="false" customHeight="true" outlineLevel="0" collapsed="false">
      <c r="A129" s="15" t="s">
        <v>381</v>
      </c>
      <c r="B129" s="15" t="s">
        <v>393</v>
      </c>
      <c r="C129" s="15" t="s">
        <v>102</v>
      </c>
      <c r="D129" s="15" t="n">
        <v>0.9</v>
      </c>
      <c r="E129" s="15" t="n">
        <v>0.018</v>
      </c>
      <c r="F129" s="16"/>
      <c r="G129" s="16"/>
      <c r="H129" s="17" t="n">
        <f aca="false">IFERROR(IF(F129&gt;0,F129*D129,IF(G129&gt;0,G129*E129,0)),0)</f>
        <v>0</v>
      </c>
      <c r="I129" s="18" t="s">
        <v>103</v>
      </c>
      <c r="J129" s="18" t="s">
        <v>136</v>
      </c>
      <c r="K129" s="19" t="s">
        <v>392</v>
      </c>
    </row>
    <row r="130" customFormat="false" ht="18" hidden="false" customHeight="true" outlineLevel="0" collapsed="false">
      <c r="A130" s="14" t="s">
        <v>394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 customFormat="false" ht="19.5" hidden="false" customHeight="true" outlineLevel="0" collapsed="false">
      <c r="A131" s="15" t="s">
        <v>395</v>
      </c>
      <c r="B131" s="15" t="s">
        <v>396</v>
      </c>
      <c r="C131" s="15" t="s">
        <v>397</v>
      </c>
      <c r="D131" s="15" t="n">
        <v>0.000113</v>
      </c>
      <c r="E131" s="15" t="n">
        <v>3E-006</v>
      </c>
      <c r="F131" s="16"/>
      <c r="G131" s="16"/>
      <c r="H131" s="17" t="n">
        <f aca="false">IFERROR(IF(F131&gt;0,F131*D131,IF(G131&gt;0,G131*E131,0)),0)</f>
        <v>0</v>
      </c>
      <c r="I131" s="18" t="s">
        <v>103</v>
      </c>
      <c r="J131" s="18" t="s">
        <v>398</v>
      </c>
      <c r="K131" s="19" t="s">
        <v>399</v>
      </c>
    </row>
    <row r="132" customFormat="false" ht="19.5" hidden="false" customHeight="true" outlineLevel="0" collapsed="false">
      <c r="A132" s="20" t="s">
        <v>395</v>
      </c>
      <c r="B132" s="20" t="s">
        <v>400</v>
      </c>
      <c r="C132" s="20" t="s">
        <v>397</v>
      </c>
      <c r="D132" s="20" t="n">
        <v>4E-005</v>
      </c>
      <c r="E132" s="20" t="n">
        <v>1E-006</v>
      </c>
      <c r="F132" s="16"/>
      <c r="G132" s="16"/>
      <c r="H132" s="17" t="n">
        <f aca="false">IFERROR(IF(F132&gt;0,F132*D132,IF(G132&gt;0,G132*E132,0)),0)</f>
        <v>0</v>
      </c>
      <c r="I132" s="21" t="s">
        <v>103</v>
      </c>
      <c r="J132" s="21" t="s">
        <v>163</v>
      </c>
      <c r="K132" s="22" t="s">
        <v>401</v>
      </c>
    </row>
    <row r="133" customFormat="false" ht="19.5" hidden="false" customHeight="true" outlineLevel="0" collapsed="false">
      <c r="A133" s="15" t="s">
        <v>395</v>
      </c>
      <c r="B133" s="15" t="s">
        <v>402</v>
      </c>
      <c r="C133" s="15" t="s">
        <v>397</v>
      </c>
      <c r="D133" s="15" t="n">
        <v>2.8E-005</v>
      </c>
      <c r="E133" s="15" t="n">
        <v>8E-007</v>
      </c>
      <c r="F133" s="16"/>
      <c r="G133" s="16"/>
      <c r="H133" s="17" t="n">
        <f aca="false">IFERROR(IF(F133&gt;0,F133*D133,IF(G133&gt;0,G133*E133,0)),0)</f>
        <v>0</v>
      </c>
      <c r="I133" s="18" t="s">
        <v>103</v>
      </c>
      <c r="J133" s="18" t="s">
        <v>403</v>
      </c>
      <c r="K133" s="19" t="s">
        <v>404</v>
      </c>
    </row>
    <row r="134" customFormat="false" ht="19.5" hidden="false" customHeight="true" outlineLevel="0" collapsed="false">
      <c r="A134" s="20" t="s">
        <v>395</v>
      </c>
      <c r="B134" s="20" t="s">
        <v>405</v>
      </c>
      <c r="C134" s="20" t="s">
        <v>397</v>
      </c>
      <c r="D134" s="20" t="n">
        <v>3.5E-006</v>
      </c>
      <c r="E134" s="20" t="n">
        <v>1E-007</v>
      </c>
      <c r="F134" s="16"/>
      <c r="G134" s="16"/>
      <c r="H134" s="17" t="n">
        <f aca="false">IFERROR(IF(F134&gt;0,F134*D134,IF(G134&gt;0,G134*E134,0)),0)</f>
        <v>0</v>
      </c>
      <c r="I134" s="21" t="s">
        <v>103</v>
      </c>
      <c r="J134" s="21" t="s">
        <v>406</v>
      </c>
      <c r="K134" s="22" t="s">
        <v>407</v>
      </c>
    </row>
    <row r="135" customFormat="false" ht="19.5" hidden="false" customHeight="true" outlineLevel="0" collapsed="false">
      <c r="A135" s="15" t="s">
        <v>395</v>
      </c>
      <c r="B135" s="15" t="s">
        <v>408</v>
      </c>
      <c r="C135" s="15" t="s">
        <v>397</v>
      </c>
      <c r="D135" s="15" t="n">
        <v>1.19E-005</v>
      </c>
      <c r="E135" s="15" t="n">
        <v>3E-007</v>
      </c>
      <c r="F135" s="16"/>
      <c r="G135" s="16"/>
      <c r="H135" s="17" t="n">
        <f aca="false">IFERROR(IF(F135&gt;0,F135*D135,IF(G135&gt;0,G135*E135,0)),0)</f>
        <v>0</v>
      </c>
      <c r="I135" s="18" t="s">
        <v>103</v>
      </c>
      <c r="J135" s="18" t="s">
        <v>409</v>
      </c>
      <c r="K135" s="19" t="s">
        <v>410</v>
      </c>
    </row>
    <row r="136" customFormat="false" ht="19.5" hidden="false" customHeight="true" outlineLevel="0" collapsed="false">
      <c r="A136" s="20" t="s">
        <v>395</v>
      </c>
      <c r="B136" s="20" t="s">
        <v>411</v>
      </c>
      <c r="C136" s="20" t="s">
        <v>397</v>
      </c>
      <c r="D136" s="20" t="n">
        <v>0.000602</v>
      </c>
      <c r="E136" s="20" t="n">
        <v>1.5E-005</v>
      </c>
      <c r="F136" s="16"/>
      <c r="G136" s="16"/>
      <c r="H136" s="17" t="n">
        <f aca="false">IFERROR(IF(F136&gt;0,F136*D136,IF(G136&gt;0,G136*E136,0)),0)</f>
        <v>0</v>
      </c>
      <c r="I136" s="21" t="s">
        <v>103</v>
      </c>
      <c r="J136" s="21" t="s">
        <v>412</v>
      </c>
      <c r="K136" s="22" t="s">
        <v>413</v>
      </c>
    </row>
    <row r="137" customFormat="false" ht="18" hidden="false" customHeight="true" outlineLevel="0" collapsed="false">
      <c r="A137" s="14" t="s">
        <v>414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customFormat="false" ht="19.5" hidden="false" customHeight="true" outlineLevel="0" collapsed="false">
      <c r="A138" s="15" t="s">
        <v>415</v>
      </c>
      <c r="B138" s="15" t="s">
        <v>416</v>
      </c>
      <c r="C138" s="15" t="s">
        <v>273</v>
      </c>
      <c r="D138" s="15" t="n">
        <v>0.31</v>
      </c>
      <c r="E138" s="15" t="n">
        <v>0.008</v>
      </c>
      <c r="F138" s="16"/>
      <c r="G138" s="16"/>
      <c r="H138" s="17" t="n">
        <f aca="false">IFERROR(IF(F138&gt;0,F138*D138,IF(G138&gt;0,G138*E138,0)),0)</f>
        <v>0</v>
      </c>
      <c r="I138" s="18" t="s">
        <v>103</v>
      </c>
      <c r="J138" s="18" t="s">
        <v>417</v>
      </c>
      <c r="K138" s="19" t="s">
        <v>418</v>
      </c>
    </row>
    <row r="139" customFormat="false" ht="19.5" hidden="false" customHeight="true" outlineLevel="0" collapsed="false">
      <c r="A139" s="20" t="s">
        <v>415</v>
      </c>
      <c r="B139" s="20" t="s">
        <v>419</v>
      </c>
      <c r="C139" s="20" t="s">
        <v>273</v>
      </c>
      <c r="D139" s="20" t="n">
        <v>0.45</v>
      </c>
      <c r="E139" s="20" t="n">
        <v>0.012</v>
      </c>
      <c r="F139" s="16"/>
      <c r="G139" s="16"/>
      <c r="H139" s="17" t="n">
        <f aca="false">IFERROR(IF(F139&gt;0,F139*D139,IF(G139&gt;0,G139*E139,0)),0)</f>
        <v>0</v>
      </c>
      <c r="I139" s="21" t="s">
        <v>103</v>
      </c>
      <c r="J139" s="21" t="s">
        <v>136</v>
      </c>
      <c r="K139" s="22" t="s">
        <v>420</v>
      </c>
    </row>
    <row r="140" customFormat="false" ht="19.5" hidden="false" customHeight="true" outlineLevel="0" collapsed="false">
      <c r="A140" s="15" t="s">
        <v>415</v>
      </c>
      <c r="B140" s="15" t="s">
        <v>421</v>
      </c>
      <c r="C140" s="15" t="s">
        <v>102</v>
      </c>
      <c r="D140" s="15" t="n">
        <v>2.85</v>
      </c>
      <c r="E140" s="15" t="n">
        <v>0.05</v>
      </c>
      <c r="F140" s="16"/>
      <c r="G140" s="16"/>
      <c r="H140" s="17" t="n">
        <f aca="false">IFERROR(IF(F140&gt;0,F140*D140,IF(G140&gt;0,G140*E140,0)),0)</f>
        <v>0</v>
      </c>
      <c r="I140" s="18" t="s">
        <v>103</v>
      </c>
      <c r="J140" s="18" t="s">
        <v>422</v>
      </c>
      <c r="K140" s="19" t="s">
        <v>423</v>
      </c>
    </row>
    <row r="141" customFormat="false" ht="19.5" hidden="false" customHeight="true" outlineLevel="0" collapsed="false">
      <c r="A141" s="20" t="s">
        <v>415</v>
      </c>
      <c r="B141" s="20" t="s">
        <v>424</v>
      </c>
      <c r="C141" s="20" t="s">
        <v>102</v>
      </c>
      <c r="D141" s="20" t="n">
        <v>0.55</v>
      </c>
      <c r="E141" s="20" t="n">
        <v>0.012</v>
      </c>
      <c r="F141" s="16"/>
      <c r="G141" s="16"/>
      <c r="H141" s="17" t="n">
        <f aca="false">IFERROR(IF(F141&gt;0,F141*D141,IF(G141&gt;0,G141*E141,0)),0)</f>
        <v>0</v>
      </c>
      <c r="I141" s="21" t="s">
        <v>103</v>
      </c>
      <c r="J141" s="21" t="s">
        <v>308</v>
      </c>
      <c r="K141" s="22" t="s">
        <v>425</v>
      </c>
    </row>
    <row r="142" customFormat="false" ht="19.5" hidden="false" customHeight="true" outlineLevel="0" collapsed="false">
      <c r="A142" s="15" t="s">
        <v>415</v>
      </c>
      <c r="B142" s="15" t="s">
        <v>426</v>
      </c>
      <c r="C142" s="15" t="s">
        <v>102</v>
      </c>
      <c r="D142" s="15" t="n">
        <v>0.025</v>
      </c>
      <c r="E142" s="15" t="n">
        <v>0.001</v>
      </c>
      <c r="F142" s="16"/>
      <c r="G142" s="16"/>
      <c r="H142" s="17" t="n">
        <f aca="false">IFERROR(IF(F142&gt;0,F142*D142,IF(G142&gt;0,G142*E142,0)),0)</f>
        <v>0</v>
      </c>
      <c r="I142" s="18" t="s">
        <v>103</v>
      </c>
      <c r="J142" s="18" t="s">
        <v>170</v>
      </c>
      <c r="K142" s="19" t="s">
        <v>427</v>
      </c>
    </row>
    <row r="143" customFormat="false" ht="19.5" hidden="false" customHeight="true" outlineLevel="0" collapsed="false">
      <c r="A143" s="20" t="s">
        <v>415</v>
      </c>
      <c r="B143" s="20" t="s">
        <v>428</v>
      </c>
      <c r="C143" s="20" t="s">
        <v>102</v>
      </c>
      <c r="D143" s="20" t="n">
        <v>0.18</v>
      </c>
      <c r="E143" s="20" t="n">
        <v>0.004</v>
      </c>
      <c r="F143" s="16"/>
      <c r="G143" s="16"/>
      <c r="H143" s="17" t="n">
        <f aca="false">IFERROR(IF(F143&gt;0,F143*D143,IF(G143&gt;0,G143*E143,0)),0)</f>
        <v>0</v>
      </c>
      <c r="I143" s="21" t="s">
        <v>103</v>
      </c>
      <c r="J143" s="21" t="s">
        <v>170</v>
      </c>
      <c r="K143" s="22" t="s">
        <v>429</v>
      </c>
    </row>
    <row r="144" customFormat="false" ht="18" hidden="false" customHeight="true" outlineLevel="0" collapsed="false">
      <c r="A144" s="23" t="s">
        <v>430</v>
      </c>
      <c r="B144" s="23"/>
      <c r="C144" s="23"/>
      <c r="D144" s="23"/>
      <c r="E144" s="23"/>
      <c r="F144" s="23"/>
      <c r="G144" s="23"/>
      <c r="H144" s="24" t="n">
        <f aca="false">SUM(I6:I143)</f>
        <v>0</v>
      </c>
      <c r="I144" s="23"/>
      <c r="J144" s="23"/>
      <c r="K144" s="23"/>
    </row>
    <row r="145" customFormat="false" ht="15.75" hidden="false" customHeight="true" outlineLevel="0" collapsed="false"/>
    <row r="146" customFormat="false" ht="15.75" hidden="false" customHeight="true" outlineLevel="0" collapsed="false">
      <c r="A146" s="25" t="s">
        <v>431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8">
    <mergeCell ref="A1:U1"/>
    <mergeCell ref="A2:U2"/>
    <mergeCell ref="A3:U3"/>
    <mergeCell ref="A6:K6"/>
    <mergeCell ref="A21:K21"/>
    <mergeCell ref="A36:K36"/>
    <mergeCell ref="A41:K41"/>
    <mergeCell ref="A53:K53"/>
    <mergeCell ref="A62:K62"/>
    <mergeCell ref="A73:K73"/>
    <mergeCell ref="A89:K89"/>
    <mergeCell ref="A105:K105"/>
    <mergeCell ref="A112:K112"/>
    <mergeCell ref="A118:K118"/>
    <mergeCell ref="A124:K124"/>
    <mergeCell ref="A130:K130"/>
    <mergeCell ref="A137:K137"/>
    <mergeCell ref="A146:K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6" min="5" style="1" width="16"/>
    <col collapsed="false" customWidth="true" hidden="false" outlineLevel="0" max="7" min="7" style="1" width="12"/>
    <col collapsed="false" customWidth="true" hidden="false" outlineLevel="0" max="10" min="8" style="1" width="10"/>
    <col collapsed="false" customWidth="true" hidden="false" outlineLevel="0" max="13" min="11" style="1" width="22"/>
    <col collapsed="false" customWidth="true" hidden="false" outlineLevel="0" max="14" min="14" style="1" width="16.14"/>
    <col collapsed="false" customWidth="true" hidden="false" outlineLevel="0" max="15" min="15" style="1" width="12"/>
    <col collapsed="false" customWidth="true" hidden="false" outlineLevel="0" max="26" min="16" style="1" width="8.71"/>
  </cols>
  <sheetData>
    <row r="1" customFormat="false" ht="27.75" hidden="false" customHeight="true" outlineLevel="0" collapsed="false">
      <c r="A1" s="10" t="s">
        <v>432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30" hidden="false" customHeight="true" outlineLevel="0" collapsed="false">
      <c r="A2" s="11" t="s">
        <v>433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88</v>
      </c>
      <c r="B5" s="13" t="s">
        <v>434</v>
      </c>
      <c r="C5" s="13" t="s">
        <v>435</v>
      </c>
      <c r="D5" s="13" t="s">
        <v>90</v>
      </c>
      <c r="E5" s="13" t="s">
        <v>436</v>
      </c>
      <c r="F5" s="13" t="s">
        <v>437</v>
      </c>
      <c r="G5" s="13" t="s">
        <v>438</v>
      </c>
      <c r="H5" s="13" t="s">
        <v>439</v>
      </c>
      <c r="I5" s="13" t="s">
        <v>440</v>
      </c>
      <c r="J5" s="13" t="s">
        <v>441</v>
      </c>
      <c r="K5" s="13" t="s">
        <v>97</v>
      </c>
      <c r="L5" s="13" t="s">
        <v>98</v>
      </c>
    </row>
    <row r="6" customFormat="false" ht="18" hidden="false" customHeight="true" outlineLevel="0" collapsed="false">
      <c r="A6" s="14" t="s">
        <v>442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19.5" hidden="false" customHeight="true" outlineLevel="0" collapsed="false">
      <c r="A7" s="15" t="s">
        <v>443</v>
      </c>
      <c r="B7" s="15" t="s">
        <v>444</v>
      </c>
      <c r="C7" s="15" t="s">
        <v>445</v>
      </c>
      <c r="D7" s="15" t="s">
        <v>148</v>
      </c>
      <c r="E7" s="15" t="n">
        <v>0.95</v>
      </c>
      <c r="F7" s="16"/>
      <c r="G7" s="26" t="n">
        <v>1</v>
      </c>
      <c r="H7" s="16"/>
      <c r="I7" s="17" t="n">
        <f aca="false">IFERROR(F7*E7*H7,0)</f>
        <v>0</v>
      </c>
      <c r="J7" s="17" t="n">
        <f aca="false">IFERROR(I7/G7,0)</f>
        <v>0</v>
      </c>
      <c r="K7" s="18" t="s">
        <v>446</v>
      </c>
      <c r="L7" s="18" t="s">
        <v>447</v>
      </c>
    </row>
    <row r="8" customFormat="false" ht="19.5" hidden="false" customHeight="true" outlineLevel="0" collapsed="false">
      <c r="A8" s="20" t="s">
        <v>443</v>
      </c>
      <c r="B8" s="20" t="s">
        <v>448</v>
      </c>
      <c r="C8" s="20" t="s">
        <v>449</v>
      </c>
      <c r="D8" s="20" t="s">
        <v>148</v>
      </c>
      <c r="E8" s="20" t="n">
        <v>0.9</v>
      </c>
      <c r="F8" s="16"/>
      <c r="G8" s="27" t="n">
        <v>1</v>
      </c>
      <c r="H8" s="16"/>
      <c r="I8" s="17" t="n">
        <f aca="false">IFERROR(F8*E8*H8,0)</f>
        <v>0</v>
      </c>
      <c r="J8" s="17" t="n">
        <f aca="false">IFERROR(I8/G8,0)</f>
        <v>0</v>
      </c>
      <c r="K8" s="21" t="s">
        <v>446</v>
      </c>
      <c r="L8" s="21" t="s">
        <v>447</v>
      </c>
    </row>
    <row r="9" customFormat="false" ht="19.5" hidden="false" customHeight="true" outlineLevel="0" collapsed="false">
      <c r="A9" s="15" t="s">
        <v>443</v>
      </c>
      <c r="B9" s="15" t="s">
        <v>450</v>
      </c>
      <c r="C9" s="15" t="s">
        <v>451</v>
      </c>
      <c r="D9" s="15" t="s">
        <v>148</v>
      </c>
      <c r="E9" s="15" t="n">
        <v>0.88</v>
      </c>
      <c r="F9" s="16"/>
      <c r="G9" s="26" t="n">
        <v>1</v>
      </c>
      <c r="H9" s="16"/>
      <c r="I9" s="17" t="n">
        <f aca="false">IFERROR(F9*E9*H9,0)</f>
        <v>0</v>
      </c>
      <c r="J9" s="17" t="n">
        <f aca="false">IFERROR(I9/G9,0)</f>
        <v>0</v>
      </c>
      <c r="K9" s="18" t="s">
        <v>446</v>
      </c>
      <c r="L9" s="18" t="s">
        <v>447</v>
      </c>
    </row>
    <row r="10" customFormat="false" ht="19.5" hidden="false" customHeight="true" outlineLevel="0" collapsed="false">
      <c r="A10" s="20" t="s">
        <v>443</v>
      </c>
      <c r="B10" s="20" t="s">
        <v>452</v>
      </c>
      <c r="C10" s="20" t="s">
        <v>453</v>
      </c>
      <c r="D10" s="20" t="s">
        <v>148</v>
      </c>
      <c r="E10" s="20" t="n">
        <v>0.92</v>
      </c>
      <c r="F10" s="16"/>
      <c r="G10" s="27" t="n">
        <v>1</v>
      </c>
      <c r="H10" s="16"/>
      <c r="I10" s="17" t="n">
        <f aca="false">IFERROR(F10*E10*H10,0)</f>
        <v>0</v>
      </c>
      <c r="J10" s="17" t="n">
        <f aca="false">IFERROR(I10/G10,0)</f>
        <v>0</v>
      </c>
      <c r="K10" s="21" t="s">
        <v>446</v>
      </c>
      <c r="L10" s="21" t="s">
        <v>447</v>
      </c>
    </row>
    <row r="11" customFormat="false" ht="19.5" hidden="false" customHeight="true" outlineLevel="0" collapsed="false">
      <c r="A11" s="15" t="s">
        <v>443</v>
      </c>
      <c r="B11" s="15" t="s">
        <v>454</v>
      </c>
      <c r="C11" s="15" t="s">
        <v>455</v>
      </c>
      <c r="D11" s="15" t="s">
        <v>148</v>
      </c>
      <c r="E11" s="15" t="n">
        <v>0.9</v>
      </c>
      <c r="F11" s="16"/>
      <c r="G11" s="26" t="n">
        <v>1</v>
      </c>
      <c r="H11" s="16"/>
      <c r="I11" s="17" t="n">
        <f aca="false">IFERROR(F11*E11*H11,0)</f>
        <v>0</v>
      </c>
      <c r="J11" s="17" t="n">
        <f aca="false">IFERROR(I11/G11,0)</f>
        <v>0</v>
      </c>
      <c r="K11" s="18" t="s">
        <v>446</v>
      </c>
      <c r="L11" s="18" t="s">
        <v>447</v>
      </c>
    </row>
    <row r="12" customFormat="false" ht="19.5" hidden="false" customHeight="true" outlineLevel="0" collapsed="false">
      <c r="A12" s="20" t="s">
        <v>443</v>
      </c>
      <c r="B12" s="20" t="s">
        <v>456</v>
      </c>
      <c r="C12" s="20" t="s">
        <v>457</v>
      </c>
      <c r="D12" s="20" t="s">
        <v>148</v>
      </c>
      <c r="E12" s="20" t="n">
        <v>0.88</v>
      </c>
      <c r="F12" s="16"/>
      <c r="G12" s="27" t="n">
        <v>1</v>
      </c>
      <c r="H12" s="16"/>
      <c r="I12" s="17" t="n">
        <f aca="false">IFERROR(F12*E12*H12,0)</f>
        <v>0</v>
      </c>
      <c r="J12" s="17" t="n">
        <f aca="false">IFERROR(I12/G12,0)</f>
        <v>0</v>
      </c>
      <c r="K12" s="21" t="s">
        <v>446</v>
      </c>
      <c r="L12" s="21" t="s">
        <v>447</v>
      </c>
    </row>
    <row r="13" customFormat="false" ht="19.5" hidden="false" customHeight="true" outlineLevel="0" collapsed="false">
      <c r="A13" s="15" t="s">
        <v>443</v>
      </c>
      <c r="B13" s="15" t="s">
        <v>458</v>
      </c>
      <c r="C13" s="15" t="s">
        <v>459</v>
      </c>
      <c r="D13" s="15" t="s">
        <v>148</v>
      </c>
      <c r="E13" s="15" t="n">
        <v>1.1</v>
      </c>
      <c r="F13" s="16"/>
      <c r="G13" s="26" t="n">
        <v>1</v>
      </c>
      <c r="H13" s="16"/>
      <c r="I13" s="17" t="n">
        <f aca="false">IFERROR(F13*E13*H13,0)</f>
        <v>0</v>
      </c>
      <c r="J13" s="17" t="n">
        <f aca="false">IFERROR(I13/G13,0)</f>
        <v>0</v>
      </c>
      <c r="K13" s="18" t="s">
        <v>446</v>
      </c>
      <c r="L13" s="18" t="s">
        <v>447</v>
      </c>
    </row>
    <row r="14" customFormat="false" ht="19.5" hidden="false" customHeight="true" outlineLevel="0" collapsed="false">
      <c r="A14" s="20" t="s">
        <v>443</v>
      </c>
      <c r="B14" s="20" t="s">
        <v>460</v>
      </c>
      <c r="C14" s="20" t="s">
        <v>461</v>
      </c>
      <c r="D14" s="20" t="s">
        <v>148</v>
      </c>
      <c r="E14" s="20" t="n">
        <v>0.85</v>
      </c>
      <c r="F14" s="16"/>
      <c r="G14" s="27" t="n">
        <v>1</v>
      </c>
      <c r="H14" s="16"/>
      <c r="I14" s="17" t="n">
        <f aca="false">IFERROR(F14*E14*H14,0)</f>
        <v>0</v>
      </c>
      <c r="J14" s="17" t="n">
        <f aca="false">IFERROR(I14/G14,0)</f>
        <v>0</v>
      </c>
      <c r="K14" s="21" t="s">
        <v>446</v>
      </c>
      <c r="L14" s="21" t="s">
        <v>447</v>
      </c>
    </row>
    <row r="15" customFormat="false" ht="19.5" hidden="false" customHeight="true" outlineLevel="0" collapsed="false">
      <c r="A15" s="15" t="s">
        <v>443</v>
      </c>
      <c r="B15" s="15" t="s">
        <v>462</v>
      </c>
      <c r="C15" s="15" t="s">
        <v>463</v>
      </c>
      <c r="D15" s="15" t="s">
        <v>148</v>
      </c>
      <c r="E15" s="15" t="n">
        <v>0.9</v>
      </c>
      <c r="F15" s="16"/>
      <c r="G15" s="26" t="n">
        <v>1</v>
      </c>
      <c r="H15" s="16"/>
      <c r="I15" s="17" t="n">
        <f aca="false">IFERROR(F15*E15*H15,0)</f>
        <v>0</v>
      </c>
      <c r="J15" s="17" t="n">
        <f aca="false">IFERROR(I15/G15,0)</f>
        <v>0</v>
      </c>
      <c r="K15" s="18" t="s">
        <v>446</v>
      </c>
      <c r="L15" s="18" t="s">
        <v>447</v>
      </c>
    </row>
    <row r="16" customFormat="false" ht="18" hidden="false" customHeight="true" outlineLevel="0" collapsed="false">
      <c r="A16" s="14" t="s">
        <v>464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19.5" hidden="false" customHeight="true" outlineLevel="0" collapsed="false">
      <c r="A17" s="15" t="s">
        <v>465</v>
      </c>
      <c r="B17" s="15" t="s">
        <v>466</v>
      </c>
      <c r="C17" s="15" t="s">
        <v>467</v>
      </c>
      <c r="D17" s="15" t="s">
        <v>148</v>
      </c>
      <c r="E17" s="15" t="n">
        <v>1.1</v>
      </c>
      <c r="F17" s="16"/>
      <c r="G17" s="26" t="n">
        <v>1</v>
      </c>
      <c r="H17" s="16"/>
      <c r="I17" s="17" t="n">
        <f aca="false">IFERROR(F17*E17*H17,0)</f>
        <v>0</v>
      </c>
      <c r="J17" s="17" t="n">
        <f aca="false">IFERROR(I17/G17,0)</f>
        <v>0</v>
      </c>
      <c r="K17" s="18" t="s">
        <v>446</v>
      </c>
      <c r="L17" s="18" t="s">
        <v>447</v>
      </c>
    </row>
    <row r="18" customFormat="false" ht="19.5" hidden="false" customHeight="true" outlineLevel="0" collapsed="false">
      <c r="A18" s="20" t="s">
        <v>465</v>
      </c>
      <c r="B18" s="20" t="s">
        <v>468</v>
      </c>
      <c r="C18" s="20" t="s">
        <v>469</v>
      </c>
      <c r="D18" s="20" t="s">
        <v>148</v>
      </c>
      <c r="E18" s="20" t="n">
        <v>1.05</v>
      </c>
      <c r="F18" s="16"/>
      <c r="G18" s="27" t="n">
        <v>1</v>
      </c>
      <c r="H18" s="16"/>
      <c r="I18" s="17" t="n">
        <f aca="false">IFERROR(F18*E18*H18,0)</f>
        <v>0</v>
      </c>
      <c r="J18" s="17" t="n">
        <f aca="false">IFERROR(I18/G18,0)</f>
        <v>0</v>
      </c>
      <c r="K18" s="21" t="s">
        <v>446</v>
      </c>
      <c r="L18" s="21" t="s">
        <v>447</v>
      </c>
    </row>
    <row r="19" customFormat="false" ht="19.5" hidden="false" customHeight="true" outlineLevel="0" collapsed="false">
      <c r="A19" s="15" t="s">
        <v>465</v>
      </c>
      <c r="B19" s="15" t="s">
        <v>470</v>
      </c>
      <c r="C19" s="15" t="s">
        <v>471</v>
      </c>
      <c r="D19" s="15" t="s">
        <v>148</v>
      </c>
      <c r="E19" s="15" t="n">
        <v>0.95</v>
      </c>
      <c r="F19" s="16"/>
      <c r="G19" s="26" t="n">
        <v>1</v>
      </c>
      <c r="H19" s="16"/>
      <c r="I19" s="17" t="n">
        <f aca="false">IFERROR(F19*E19*H19,0)</f>
        <v>0</v>
      </c>
      <c r="J19" s="17" t="n">
        <f aca="false">IFERROR(I19/G19,0)</f>
        <v>0</v>
      </c>
      <c r="K19" s="18" t="s">
        <v>446</v>
      </c>
      <c r="L19" s="18" t="s">
        <v>447</v>
      </c>
    </row>
    <row r="20" customFormat="false" ht="19.5" hidden="false" customHeight="true" outlineLevel="0" collapsed="false">
      <c r="A20" s="20" t="s">
        <v>465</v>
      </c>
      <c r="B20" s="20" t="s">
        <v>472</v>
      </c>
      <c r="C20" s="20" t="s">
        <v>473</v>
      </c>
      <c r="D20" s="20" t="s">
        <v>148</v>
      </c>
      <c r="E20" s="20" t="n">
        <v>0.32</v>
      </c>
      <c r="F20" s="16"/>
      <c r="G20" s="27" t="n">
        <v>1</v>
      </c>
      <c r="H20" s="16"/>
      <c r="I20" s="17" t="n">
        <f aca="false">IFERROR(F20*E20*H20,0)</f>
        <v>0</v>
      </c>
      <c r="J20" s="17" t="n">
        <f aca="false">IFERROR(I20/G20,0)</f>
        <v>0</v>
      </c>
      <c r="K20" s="21" t="s">
        <v>446</v>
      </c>
      <c r="L20" s="21" t="s">
        <v>447</v>
      </c>
    </row>
    <row r="21" customFormat="false" ht="19.5" hidden="false" customHeight="true" outlineLevel="0" collapsed="false">
      <c r="A21" s="15" t="s">
        <v>465</v>
      </c>
      <c r="B21" s="15" t="s">
        <v>474</v>
      </c>
      <c r="C21" s="15" t="s">
        <v>473</v>
      </c>
      <c r="D21" s="15" t="s">
        <v>148</v>
      </c>
      <c r="E21" s="15" t="n">
        <v>0.28</v>
      </c>
      <c r="F21" s="16"/>
      <c r="G21" s="26" t="n">
        <v>1</v>
      </c>
      <c r="H21" s="16"/>
      <c r="I21" s="17" t="n">
        <f aca="false">IFERROR(F21*E21*H21,0)</f>
        <v>0</v>
      </c>
      <c r="J21" s="17" t="n">
        <f aca="false">IFERROR(I21/G21,0)</f>
        <v>0</v>
      </c>
      <c r="K21" s="18" t="s">
        <v>446</v>
      </c>
      <c r="L21" s="18" t="s">
        <v>447</v>
      </c>
    </row>
    <row r="22" customFormat="false" ht="19.5" hidden="false" customHeight="true" outlineLevel="0" collapsed="false">
      <c r="A22" s="20" t="s">
        <v>465</v>
      </c>
      <c r="B22" s="20" t="s">
        <v>475</v>
      </c>
      <c r="C22" s="20" t="s">
        <v>476</v>
      </c>
      <c r="D22" s="20" t="s">
        <v>148</v>
      </c>
      <c r="E22" s="20" t="n">
        <v>0.25</v>
      </c>
      <c r="F22" s="16"/>
      <c r="G22" s="27" t="n">
        <v>1</v>
      </c>
      <c r="H22" s="16"/>
      <c r="I22" s="17" t="n">
        <f aca="false">IFERROR(F22*E22*H22,0)</f>
        <v>0</v>
      </c>
      <c r="J22" s="17" t="n">
        <f aca="false">IFERROR(I22/G22,0)</f>
        <v>0</v>
      </c>
      <c r="K22" s="21" t="s">
        <v>446</v>
      </c>
      <c r="L22" s="21" t="s">
        <v>447</v>
      </c>
    </row>
    <row r="23" customFormat="false" ht="19.5" hidden="false" customHeight="true" outlineLevel="0" collapsed="false">
      <c r="A23" s="15" t="s">
        <v>465</v>
      </c>
      <c r="B23" s="15" t="s">
        <v>477</v>
      </c>
      <c r="C23" s="15" t="s">
        <v>227</v>
      </c>
      <c r="D23" s="15" t="s">
        <v>148</v>
      </c>
      <c r="E23" s="15" t="n">
        <v>0.65</v>
      </c>
      <c r="F23" s="16"/>
      <c r="G23" s="26" t="n">
        <v>1</v>
      </c>
      <c r="H23" s="16"/>
      <c r="I23" s="17" t="n">
        <f aca="false">IFERROR(F23*E23*H23,0)</f>
        <v>0</v>
      </c>
      <c r="J23" s="17" t="n">
        <f aca="false">IFERROR(I23/G23,0)</f>
        <v>0</v>
      </c>
      <c r="K23" s="18" t="s">
        <v>446</v>
      </c>
      <c r="L23" s="18" t="s">
        <v>447</v>
      </c>
    </row>
    <row r="24" customFormat="false" ht="19.5" hidden="false" customHeight="true" outlineLevel="0" collapsed="false">
      <c r="A24" s="20" t="s">
        <v>465</v>
      </c>
      <c r="B24" s="20" t="s">
        <v>478</v>
      </c>
      <c r="C24" s="20" t="s">
        <v>479</v>
      </c>
      <c r="D24" s="20" t="s">
        <v>148</v>
      </c>
      <c r="E24" s="20" t="n">
        <v>0.85</v>
      </c>
      <c r="F24" s="16"/>
      <c r="G24" s="27" t="n">
        <v>1</v>
      </c>
      <c r="H24" s="16"/>
      <c r="I24" s="17" t="n">
        <f aca="false">IFERROR(F24*E24*H24,0)</f>
        <v>0</v>
      </c>
      <c r="J24" s="17" t="n">
        <f aca="false">IFERROR(I24/G24,0)</f>
        <v>0</v>
      </c>
      <c r="K24" s="21" t="s">
        <v>446</v>
      </c>
      <c r="L24" s="21" t="s">
        <v>447</v>
      </c>
    </row>
    <row r="25" customFormat="false" ht="19.5" hidden="false" customHeight="true" outlineLevel="0" collapsed="false">
      <c r="A25" s="15" t="s">
        <v>465</v>
      </c>
      <c r="B25" s="15" t="s">
        <v>480</v>
      </c>
      <c r="C25" s="15" t="s">
        <v>481</v>
      </c>
      <c r="D25" s="15" t="s">
        <v>148</v>
      </c>
      <c r="E25" s="15" t="n">
        <v>0.8</v>
      </c>
      <c r="F25" s="16"/>
      <c r="G25" s="26" t="n">
        <v>1</v>
      </c>
      <c r="H25" s="16"/>
      <c r="I25" s="17" t="n">
        <f aca="false">IFERROR(F25*E25*H25,0)</f>
        <v>0</v>
      </c>
      <c r="J25" s="17" t="n">
        <f aca="false">IFERROR(I25/G25,0)</f>
        <v>0</v>
      </c>
      <c r="K25" s="18" t="s">
        <v>446</v>
      </c>
      <c r="L25" s="18" t="s">
        <v>447</v>
      </c>
    </row>
    <row r="26" customFormat="false" ht="19.5" hidden="false" customHeight="true" outlineLevel="0" collapsed="false">
      <c r="A26" s="20" t="s">
        <v>465</v>
      </c>
      <c r="B26" s="20" t="s">
        <v>482</v>
      </c>
      <c r="C26" s="20" t="s">
        <v>483</v>
      </c>
      <c r="D26" s="20" t="s">
        <v>148</v>
      </c>
      <c r="E26" s="20" t="n">
        <v>0.85</v>
      </c>
      <c r="F26" s="16"/>
      <c r="G26" s="27" t="n">
        <v>1</v>
      </c>
      <c r="H26" s="16"/>
      <c r="I26" s="17" t="n">
        <f aca="false">IFERROR(F26*E26*H26,0)</f>
        <v>0</v>
      </c>
      <c r="J26" s="17" t="n">
        <f aca="false">IFERROR(I26/G26,0)</f>
        <v>0</v>
      </c>
      <c r="K26" s="21" t="s">
        <v>446</v>
      </c>
      <c r="L26" s="21" t="s">
        <v>447</v>
      </c>
    </row>
    <row r="27" customFormat="false" ht="18" hidden="false" customHeight="true" outlineLevel="0" collapsed="false">
      <c r="A27" s="14" t="s">
        <v>484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customFormat="false" ht="19.5" hidden="false" customHeight="true" outlineLevel="0" collapsed="false">
      <c r="A28" s="15" t="s">
        <v>485</v>
      </c>
      <c r="B28" s="15" t="s">
        <v>486</v>
      </c>
      <c r="C28" s="15" t="s">
        <v>487</v>
      </c>
      <c r="D28" s="15" t="s">
        <v>148</v>
      </c>
      <c r="E28" s="15" t="n">
        <v>1.15</v>
      </c>
      <c r="F28" s="16"/>
      <c r="G28" s="26" t="n">
        <v>1</v>
      </c>
      <c r="H28" s="16"/>
      <c r="I28" s="17" t="n">
        <f aca="false">IFERROR(F28*E28*H28,0)</f>
        <v>0</v>
      </c>
      <c r="J28" s="17" t="n">
        <f aca="false">IFERROR(I28/G28,0)</f>
        <v>0</v>
      </c>
      <c r="K28" s="18" t="s">
        <v>446</v>
      </c>
      <c r="L28" s="18" t="s">
        <v>447</v>
      </c>
    </row>
    <row r="29" customFormat="false" ht="19.5" hidden="false" customHeight="true" outlineLevel="0" collapsed="false">
      <c r="A29" s="20" t="s">
        <v>485</v>
      </c>
      <c r="B29" s="20" t="s">
        <v>488</v>
      </c>
      <c r="C29" s="20" t="s">
        <v>489</v>
      </c>
      <c r="D29" s="20" t="s">
        <v>148</v>
      </c>
      <c r="E29" s="20" t="n">
        <v>0.9</v>
      </c>
      <c r="F29" s="16"/>
      <c r="G29" s="27" t="n">
        <v>1</v>
      </c>
      <c r="H29" s="16"/>
      <c r="I29" s="17" t="n">
        <f aca="false">IFERROR(F29*E29*H29,0)</f>
        <v>0</v>
      </c>
      <c r="J29" s="17" t="n">
        <f aca="false">IFERROR(I29/G29,0)</f>
        <v>0</v>
      </c>
      <c r="K29" s="21" t="s">
        <v>446</v>
      </c>
      <c r="L29" s="21" t="s">
        <v>447</v>
      </c>
    </row>
    <row r="30" customFormat="false" ht="19.5" hidden="false" customHeight="true" outlineLevel="0" collapsed="false">
      <c r="A30" s="15" t="s">
        <v>485</v>
      </c>
      <c r="B30" s="15" t="s">
        <v>490</v>
      </c>
      <c r="C30" s="15" t="s">
        <v>491</v>
      </c>
      <c r="D30" s="15" t="s">
        <v>148</v>
      </c>
      <c r="E30" s="15" t="n">
        <v>1.1</v>
      </c>
      <c r="F30" s="16"/>
      <c r="G30" s="26" t="n">
        <v>1</v>
      </c>
      <c r="H30" s="16"/>
      <c r="I30" s="17" t="n">
        <f aca="false">IFERROR(F30*E30*H30,0)</f>
        <v>0</v>
      </c>
      <c r="J30" s="17" t="n">
        <f aca="false">IFERROR(I30/G30,0)</f>
        <v>0</v>
      </c>
      <c r="K30" s="18" t="s">
        <v>446</v>
      </c>
      <c r="L30" s="18" t="s">
        <v>447</v>
      </c>
    </row>
    <row r="31" customFormat="false" ht="19.5" hidden="false" customHeight="true" outlineLevel="0" collapsed="false">
      <c r="A31" s="20" t="s">
        <v>485</v>
      </c>
      <c r="B31" s="20" t="s">
        <v>492</v>
      </c>
      <c r="C31" s="20" t="s">
        <v>493</v>
      </c>
      <c r="D31" s="20" t="s">
        <v>148</v>
      </c>
      <c r="E31" s="20" t="n">
        <v>0.88</v>
      </c>
      <c r="F31" s="16"/>
      <c r="G31" s="27" t="n">
        <v>1</v>
      </c>
      <c r="H31" s="16"/>
      <c r="I31" s="17" t="n">
        <f aca="false">IFERROR(F31*E31*H31,0)</f>
        <v>0</v>
      </c>
      <c r="J31" s="17" t="n">
        <f aca="false">IFERROR(I31/G31,0)</f>
        <v>0</v>
      </c>
      <c r="K31" s="21" t="s">
        <v>446</v>
      </c>
      <c r="L31" s="21" t="s">
        <v>447</v>
      </c>
    </row>
    <row r="32" customFormat="false" ht="19.5" hidden="false" customHeight="true" outlineLevel="0" collapsed="false">
      <c r="A32" s="15" t="s">
        <v>485</v>
      </c>
      <c r="B32" s="15" t="s">
        <v>494</v>
      </c>
      <c r="C32" s="15" t="s">
        <v>489</v>
      </c>
      <c r="D32" s="15" t="s">
        <v>148</v>
      </c>
      <c r="E32" s="15" t="n">
        <v>0.85</v>
      </c>
      <c r="F32" s="16"/>
      <c r="G32" s="26" t="n">
        <v>1</v>
      </c>
      <c r="H32" s="16"/>
      <c r="I32" s="17" t="n">
        <f aca="false">IFERROR(F32*E32*H32,0)</f>
        <v>0</v>
      </c>
      <c r="J32" s="17" t="n">
        <f aca="false">IFERROR(I32/G32,0)</f>
        <v>0</v>
      </c>
      <c r="K32" s="18" t="s">
        <v>446</v>
      </c>
      <c r="L32" s="18" t="s">
        <v>447</v>
      </c>
    </row>
    <row r="33" customFormat="false" ht="19.5" hidden="false" customHeight="true" outlineLevel="0" collapsed="false">
      <c r="A33" s="20" t="s">
        <v>485</v>
      </c>
      <c r="B33" s="20" t="s">
        <v>495</v>
      </c>
      <c r="C33" s="20" t="s">
        <v>487</v>
      </c>
      <c r="D33" s="20" t="s">
        <v>148</v>
      </c>
      <c r="E33" s="20" t="n">
        <v>1</v>
      </c>
      <c r="F33" s="16"/>
      <c r="G33" s="27" t="n">
        <v>1</v>
      </c>
      <c r="H33" s="16"/>
      <c r="I33" s="17" t="n">
        <f aca="false">IFERROR(F33*E33*H33,0)</f>
        <v>0</v>
      </c>
      <c r="J33" s="17" t="n">
        <f aca="false">IFERROR(I33/G33,0)</f>
        <v>0</v>
      </c>
      <c r="K33" s="21" t="s">
        <v>446</v>
      </c>
      <c r="L33" s="21" t="s">
        <v>447</v>
      </c>
    </row>
    <row r="34" customFormat="false" ht="19.5" hidden="false" customHeight="true" outlineLevel="0" collapsed="false">
      <c r="A34" s="15" t="s">
        <v>485</v>
      </c>
      <c r="B34" s="15" t="s">
        <v>496</v>
      </c>
      <c r="C34" s="15" t="s">
        <v>476</v>
      </c>
      <c r="D34" s="15" t="s">
        <v>148</v>
      </c>
      <c r="E34" s="15" t="n">
        <v>0.95</v>
      </c>
      <c r="F34" s="16"/>
      <c r="G34" s="26" t="n">
        <v>1</v>
      </c>
      <c r="H34" s="16"/>
      <c r="I34" s="17" t="n">
        <f aca="false">IFERROR(F34*E34*H34,0)</f>
        <v>0</v>
      </c>
      <c r="J34" s="17" t="n">
        <f aca="false">IFERROR(I34/G34,0)</f>
        <v>0</v>
      </c>
      <c r="K34" s="18" t="s">
        <v>446</v>
      </c>
      <c r="L34" s="18" t="s">
        <v>447</v>
      </c>
    </row>
    <row r="35" customFormat="false" ht="18" hidden="false" customHeight="true" outlineLevel="0" collapsed="false">
      <c r="A35" s="14" t="s">
        <v>497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19.5" hidden="false" customHeight="true" outlineLevel="0" collapsed="false">
      <c r="A36" s="15" t="s">
        <v>498</v>
      </c>
      <c r="B36" s="15" t="s">
        <v>499</v>
      </c>
      <c r="C36" s="15" t="s">
        <v>500</v>
      </c>
      <c r="D36" s="15" t="s">
        <v>148</v>
      </c>
      <c r="E36" s="15" t="n">
        <v>0.75</v>
      </c>
      <c r="F36" s="16"/>
      <c r="G36" s="26" t="n">
        <v>1</v>
      </c>
      <c r="H36" s="16"/>
      <c r="I36" s="17" t="n">
        <f aca="false">IFERROR(F36*E36*H36,0)</f>
        <v>0</v>
      </c>
      <c r="J36" s="17" t="n">
        <f aca="false">IFERROR(I36/G36,0)</f>
        <v>0</v>
      </c>
      <c r="K36" s="18" t="s">
        <v>446</v>
      </c>
      <c r="L36" s="18" t="s">
        <v>447</v>
      </c>
    </row>
    <row r="37" customFormat="false" ht="19.5" hidden="false" customHeight="true" outlineLevel="0" collapsed="false">
      <c r="A37" s="20" t="s">
        <v>498</v>
      </c>
      <c r="B37" s="20" t="s">
        <v>501</v>
      </c>
      <c r="C37" s="20" t="s">
        <v>502</v>
      </c>
      <c r="D37" s="20" t="s">
        <v>148</v>
      </c>
      <c r="E37" s="20" t="n">
        <v>1.05</v>
      </c>
      <c r="F37" s="16"/>
      <c r="G37" s="27" t="n">
        <v>1</v>
      </c>
      <c r="H37" s="16"/>
      <c r="I37" s="17" t="n">
        <f aca="false">IFERROR(F37*E37*H37,0)</f>
        <v>0</v>
      </c>
      <c r="J37" s="17" t="n">
        <f aca="false">IFERROR(I37/G37,0)</f>
        <v>0</v>
      </c>
      <c r="K37" s="21" t="s">
        <v>446</v>
      </c>
      <c r="L37" s="21" t="s">
        <v>447</v>
      </c>
    </row>
    <row r="38" customFormat="false" ht="19.5" hidden="false" customHeight="true" outlineLevel="0" collapsed="false">
      <c r="A38" s="15" t="s">
        <v>498</v>
      </c>
      <c r="B38" s="15" t="s">
        <v>503</v>
      </c>
      <c r="C38" s="15" t="s">
        <v>504</v>
      </c>
      <c r="D38" s="15" t="s">
        <v>148</v>
      </c>
      <c r="E38" s="15" t="n">
        <v>0.78</v>
      </c>
      <c r="F38" s="16"/>
      <c r="G38" s="26" t="n">
        <v>1</v>
      </c>
      <c r="H38" s="16"/>
      <c r="I38" s="17" t="n">
        <f aca="false">IFERROR(F38*E38*H38,0)</f>
        <v>0</v>
      </c>
      <c r="J38" s="17" t="n">
        <f aca="false">IFERROR(I38/G38,0)</f>
        <v>0</v>
      </c>
      <c r="K38" s="18" t="s">
        <v>446</v>
      </c>
      <c r="L38" s="18" t="s">
        <v>447</v>
      </c>
    </row>
    <row r="39" customFormat="false" ht="19.5" hidden="false" customHeight="true" outlineLevel="0" collapsed="false">
      <c r="A39" s="20" t="s">
        <v>498</v>
      </c>
      <c r="B39" s="20" t="s">
        <v>505</v>
      </c>
      <c r="C39" s="20" t="s">
        <v>506</v>
      </c>
      <c r="D39" s="20" t="s">
        <v>148</v>
      </c>
      <c r="E39" s="20" t="n">
        <v>0.95</v>
      </c>
      <c r="F39" s="16"/>
      <c r="G39" s="27" t="n">
        <v>1</v>
      </c>
      <c r="H39" s="16"/>
      <c r="I39" s="17" t="n">
        <f aca="false">IFERROR(F39*E39*H39,0)</f>
        <v>0</v>
      </c>
      <c r="J39" s="17" t="n">
        <f aca="false">IFERROR(I39/G39,0)</f>
        <v>0</v>
      </c>
      <c r="K39" s="21" t="s">
        <v>446</v>
      </c>
      <c r="L39" s="21" t="s">
        <v>447</v>
      </c>
    </row>
    <row r="40" customFormat="false" ht="19.5" hidden="false" customHeight="true" outlineLevel="0" collapsed="false">
      <c r="A40" s="15" t="s">
        <v>498</v>
      </c>
      <c r="B40" s="15" t="s">
        <v>507</v>
      </c>
      <c r="C40" s="15" t="s">
        <v>508</v>
      </c>
      <c r="D40" s="15" t="s">
        <v>148</v>
      </c>
      <c r="E40" s="15" t="n">
        <v>0.85</v>
      </c>
      <c r="F40" s="16"/>
      <c r="G40" s="26" t="n">
        <v>1</v>
      </c>
      <c r="H40" s="16"/>
      <c r="I40" s="17" t="n">
        <f aca="false">IFERROR(F40*E40*H40,0)</f>
        <v>0</v>
      </c>
      <c r="J40" s="17" t="n">
        <f aca="false">IFERROR(I40/G40,0)</f>
        <v>0</v>
      </c>
      <c r="K40" s="18" t="s">
        <v>446</v>
      </c>
      <c r="L40" s="18" t="s">
        <v>447</v>
      </c>
    </row>
    <row r="41" customFormat="false" ht="19.5" hidden="false" customHeight="true" outlineLevel="0" collapsed="false">
      <c r="A41" s="20" t="s">
        <v>498</v>
      </c>
      <c r="B41" s="20" t="s">
        <v>509</v>
      </c>
      <c r="C41" s="20" t="s">
        <v>510</v>
      </c>
      <c r="D41" s="20" t="s">
        <v>148</v>
      </c>
      <c r="E41" s="20" t="n">
        <v>1.05</v>
      </c>
      <c r="F41" s="16"/>
      <c r="G41" s="27" t="n">
        <v>1</v>
      </c>
      <c r="H41" s="16"/>
      <c r="I41" s="17" t="n">
        <f aca="false">IFERROR(F41*E41*H41,0)</f>
        <v>0</v>
      </c>
      <c r="J41" s="17" t="n">
        <f aca="false">IFERROR(I41/G41,0)</f>
        <v>0</v>
      </c>
      <c r="K41" s="21" t="s">
        <v>446</v>
      </c>
      <c r="L41" s="21" t="s">
        <v>447</v>
      </c>
    </row>
    <row r="42" customFormat="false" ht="19.5" hidden="false" customHeight="true" outlineLevel="0" collapsed="false">
      <c r="A42" s="15" t="s">
        <v>498</v>
      </c>
      <c r="B42" s="15" t="s">
        <v>511</v>
      </c>
      <c r="C42" s="15" t="s">
        <v>512</v>
      </c>
      <c r="D42" s="15" t="s">
        <v>148</v>
      </c>
      <c r="E42" s="15" t="n">
        <v>0.65</v>
      </c>
      <c r="F42" s="16"/>
      <c r="G42" s="26" t="n">
        <v>1</v>
      </c>
      <c r="H42" s="16"/>
      <c r="I42" s="17" t="n">
        <f aca="false">IFERROR(F42*E42*H42,0)</f>
        <v>0</v>
      </c>
      <c r="J42" s="17" t="n">
        <f aca="false">IFERROR(I42/G42,0)</f>
        <v>0</v>
      </c>
      <c r="K42" s="18" t="s">
        <v>446</v>
      </c>
      <c r="L42" s="18" t="s">
        <v>447</v>
      </c>
    </row>
    <row r="43" customFormat="false" ht="18" hidden="false" customHeight="true" outlineLevel="0" collapsed="false">
      <c r="A43" s="14" t="s">
        <v>513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customFormat="false" ht="19.5" hidden="false" customHeight="true" outlineLevel="0" collapsed="false">
      <c r="A44" s="15" t="s">
        <v>514</v>
      </c>
      <c r="B44" s="15" t="s">
        <v>515</v>
      </c>
      <c r="C44" s="15" t="s">
        <v>516</v>
      </c>
      <c r="D44" s="15" t="s">
        <v>148</v>
      </c>
      <c r="E44" s="15" t="n">
        <v>0.28</v>
      </c>
      <c r="F44" s="16"/>
      <c r="G44" s="26" t="n">
        <v>1</v>
      </c>
      <c r="H44" s="16"/>
      <c r="I44" s="17" t="n">
        <f aca="false">IFERROR(F44*E44*H44,0)</f>
        <v>0</v>
      </c>
      <c r="J44" s="17" t="n">
        <f aca="false">IFERROR(I44/G44,0)</f>
        <v>0</v>
      </c>
      <c r="K44" s="18" t="s">
        <v>446</v>
      </c>
      <c r="L44" s="18" t="s">
        <v>447</v>
      </c>
    </row>
    <row r="45" customFormat="false" ht="19.5" hidden="false" customHeight="true" outlineLevel="0" collapsed="false">
      <c r="A45" s="20" t="s">
        <v>514</v>
      </c>
      <c r="B45" s="20" t="s">
        <v>517</v>
      </c>
      <c r="C45" s="20" t="s">
        <v>516</v>
      </c>
      <c r="D45" s="20" t="s">
        <v>148</v>
      </c>
      <c r="E45" s="20" t="n">
        <v>0.22</v>
      </c>
      <c r="F45" s="16"/>
      <c r="G45" s="27" t="n">
        <v>1</v>
      </c>
      <c r="H45" s="16"/>
      <c r="I45" s="17" t="n">
        <f aca="false">IFERROR(F45*E45*H45,0)</f>
        <v>0</v>
      </c>
      <c r="J45" s="17" t="n">
        <f aca="false">IFERROR(I45/G45,0)</f>
        <v>0</v>
      </c>
      <c r="K45" s="21" t="s">
        <v>446</v>
      </c>
      <c r="L45" s="21" t="s">
        <v>447</v>
      </c>
    </row>
    <row r="46" customFormat="false" ht="19.5" hidden="false" customHeight="true" outlineLevel="0" collapsed="false">
      <c r="A46" s="15" t="s">
        <v>514</v>
      </c>
      <c r="B46" s="15" t="s">
        <v>518</v>
      </c>
      <c r="C46" s="15" t="s">
        <v>516</v>
      </c>
      <c r="D46" s="15" t="s">
        <v>148</v>
      </c>
      <c r="E46" s="15" t="n">
        <v>0.32</v>
      </c>
      <c r="F46" s="16"/>
      <c r="G46" s="26" t="n">
        <v>1</v>
      </c>
      <c r="H46" s="16"/>
      <c r="I46" s="17" t="n">
        <f aca="false">IFERROR(F46*E46*H46,0)</f>
        <v>0</v>
      </c>
      <c r="J46" s="17" t="n">
        <f aca="false">IFERROR(I46/G46,0)</f>
        <v>0</v>
      </c>
      <c r="K46" s="18" t="s">
        <v>446</v>
      </c>
      <c r="L46" s="18" t="s">
        <v>447</v>
      </c>
    </row>
    <row r="47" customFormat="false" ht="19.5" hidden="false" customHeight="true" outlineLevel="0" collapsed="false">
      <c r="A47" s="20" t="s">
        <v>514</v>
      </c>
      <c r="B47" s="20" t="s">
        <v>519</v>
      </c>
      <c r="C47" s="20" t="s">
        <v>516</v>
      </c>
      <c r="D47" s="20" t="s">
        <v>148</v>
      </c>
      <c r="E47" s="20" t="n">
        <v>0.2</v>
      </c>
      <c r="F47" s="16"/>
      <c r="G47" s="27" t="n">
        <v>1</v>
      </c>
      <c r="H47" s="16"/>
      <c r="I47" s="17" t="n">
        <f aca="false">IFERROR(F47*E47*H47,0)</f>
        <v>0</v>
      </c>
      <c r="J47" s="17" t="n">
        <f aca="false">IFERROR(I47/G47,0)</f>
        <v>0</v>
      </c>
      <c r="K47" s="21" t="s">
        <v>446</v>
      </c>
      <c r="L47" s="21" t="s">
        <v>447</v>
      </c>
    </row>
    <row r="48" customFormat="false" ht="19.5" hidden="false" customHeight="true" outlineLevel="0" collapsed="false">
      <c r="A48" s="15" t="s">
        <v>514</v>
      </c>
      <c r="B48" s="15" t="s">
        <v>520</v>
      </c>
      <c r="C48" s="15" t="s">
        <v>516</v>
      </c>
      <c r="D48" s="15" t="s">
        <v>148</v>
      </c>
      <c r="E48" s="15" t="n">
        <v>0.38</v>
      </c>
      <c r="F48" s="16"/>
      <c r="G48" s="26" t="n">
        <v>1</v>
      </c>
      <c r="H48" s="16"/>
      <c r="I48" s="17" t="n">
        <f aca="false">IFERROR(F48*E48*H48,0)</f>
        <v>0</v>
      </c>
      <c r="J48" s="17" t="n">
        <f aca="false">IFERROR(I48/G48,0)</f>
        <v>0</v>
      </c>
      <c r="K48" s="18" t="s">
        <v>446</v>
      </c>
      <c r="L48" s="18" t="s">
        <v>447</v>
      </c>
    </row>
    <row r="49" customFormat="false" ht="19.5" hidden="false" customHeight="true" outlineLevel="0" collapsed="false">
      <c r="A49" s="20" t="s">
        <v>514</v>
      </c>
      <c r="B49" s="20" t="s">
        <v>521</v>
      </c>
      <c r="C49" s="20" t="s">
        <v>516</v>
      </c>
      <c r="D49" s="20" t="s">
        <v>148</v>
      </c>
      <c r="E49" s="20" t="n">
        <v>0.18</v>
      </c>
      <c r="F49" s="16"/>
      <c r="G49" s="27" t="n">
        <v>1</v>
      </c>
      <c r="H49" s="16"/>
      <c r="I49" s="17" t="n">
        <f aca="false">IFERROR(F49*E49*H49,0)</f>
        <v>0</v>
      </c>
      <c r="J49" s="17" t="n">
        <f aca="false">IFERROR(I49/G49,0)</f>
        <v>0</v>
      </c>
      <c r="K49" s="21" t="s">
        <v>446</v>
      </c>
      <c r="L49" s="21" t="s">
        <v>447</v>
      </c>
    </row>
    <row r="50" customFormat="false" ht="19.5" hidden="false" customHeight="true" outlineLevel="0" collapsed="false">
      <c r="A50" s="15" t="s">
        <v>514</v>
      </c>
      <c r="B50" s="15" t="s">
        <v>522</v>
      </c>
      <c r="C50" s="15" t="s">
        <v>523</v>
      </c>
      <c r="D50" s="15" t="s">
        <v>148</v>
      </c>
      <c r="E50" s="15" t="n">
        <v>0.25</v>
      </c>
      <c r="F50" s="16"/>
      <c r="G50" s="26" t="n">
        <v>1</v>
      </c>
      <c r="H50" s="16"/>
      <c r="I50" s="17" t="n">
        <f aca="false">IFERROR(F50*E50*H50,0)</f>
        <v>0</v>
      </c>
      <c r="J50" s="17" t="n">
        <f aca="false">IFERROR(I50/G50,0)</f>
        <v>0</v>
      </c>
      <c r="K50" s="18" t="s">
        <v>446</v>
      </c>
      <c r="L50" s="18" t="s">
        <v>447</v>
      </c>
    </row>
    <row r="51" customFormat="false" ht="18" hidden="false" customHeight="true" outlineLevel="0" collapsed="false">
      <c r="A51" s="14" t="s">
        <v>524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customFormat="false" ht="19.5" hidden="false" customHeight="true" outlineLevel="0" collapsed="false">
      <c r="A52" s="15" t="s">
        <v>525</v>
      </c>
      <c r="B52" s="15" t="s">
        <v>526</v>
      </c>
      <c r="C52" s="15" t="s">
        <v>527</v>
      </c>
      <c r="D52" s="15" t="s">
        <v>148</v>
      </c>
      <c r="E52" s="15" t="n">
        <v>0.8</v>
      </c>
      <c r="F52" s="16"/>
      <c r="G52" s="26" t="n">
        <v>1</v>
      </c>
      <c r="H52" s="16"/>
      <c r="I52" s="17" t="n">
        <f aca="false">IFERROR(F52*E52*H52,0)</f>
        <v>0</v>
      </c>
      <c r="J52" s="17" t="n">
        <f aca="false">IFERROR(I52/G52,0)</f>
        <v>0</v>
      </c>
      <c r="K52" s="18" t="s">
        <v>446</v>
      </c>
      <c r="L52" s="18" t="s">
        <v>447</v>
      </c>
    </row>
    <row r="53" customFormat="false" ht="19.5" hidden="false" customHeight="true" outlineLevel="0" collapsed="false">
      <c r="A53" s="20" t="s">
        <v>525</v>
      </c>
      <c r="B53" s="20" t="s">
        <v>528</v>
      </c>
      <c r="C53" s="20" t="s">
        <v>527</v>
      </c>
      <c r="D53" s="20" t="s">
        <v>148</v>
      </c>
      <c r="E53" s="20" t="n">
        <v>0.78</v>
      </c>
      <c r="F53" s="16"/>
      <c r="G53" s="27" t="n">
        <v>1</v>
      </c>
      <c r="H53" s="16"/>
      <c r="I53" s="17" t="n">
        <f aca="false">IFERROR(F53*E53*H53,0)</f>
        <v>0</v>
      </c>
      <c r="J53" s="17" t="n">
        <f aca="false">IFERROR(I53/G53,0)</f>
        <v>0</v>
      </c>
      <c r="K53" s="21" t="s">
        <v>446</v>
      </c>
      <c r="L53" s="21" t="s">
        <v>447</v>
      </c>
    </row>
    <row r="54" customFormat="false" ht="19.5" hidden="false" customHeight="true" outlineLevel="0" collapsed="false">
      <c r="A54" s="15" t="s">
        <v>525</v>
      </c>
      <c r="B54" s="15" t="s">
        <v>529</v>
      </c>
      <c r="C54" s="15" t="s">
        <v>530</v>
      </c>
      <c r="D54" s="15" t="s">
        <v>148</v>
      </c>
      <c r="E54" s="15" t="n">
        <v>0.85</v>
      </c>
      <c r="F54" s="16"/>
      <c r="G54" s="26" t="n">
        <v>1</v>
      </c>
      <c r="H54" s="16"/>
      <c r="I54" s="17" t="n">
        <f aca="false">IFERROR(F54*E54*H54,0)</f>
        <v>0</v>
      </c>
      <c r="J54" s="17" t="n">
        <f aca="false">IFERROR(I54/G54,0)</f>
        <v>0</v>
      </c>
      <c r="K54" s="18" t="s">
        <v>446</v>
      </c>
      <c r="L54" s="18" t="s">
        <v>447</v>
      </c>
    </row>
    <row r="55" customFormat="false" ht="19.5" hidden="false" customHeight="true" outlineLevel="0" collapsed="false">
      <c r="A55" s="20" t="s">
        <v>525</v>
      </c>
      <c r="B55" s="20" t="s">
        <v>531</v>
      </c>
      <c r="C55" s="20" t="s">
        <v>532</v>
      </c>
      <c r="D55" s="20" t="s">
        <v>148</v>
      </c>
      <c r="E55" s="20" t="n">
        <v>0.82</v>
      </c>
      <c r="F55" s="16"/>
      <c r="G55" s="27" t="n">
        <v>1</v>
      </c>
      <c r="H55" s="16"/>
      <c r="I55" s="17" t="n">
        <f aca="false">IFERROR(F55*E55*H55,0)</f>
        <v>0</v>
      </c>
      <c r="J55" s="17" t="n">
        <f aca="false">IFERROR(I55/G55,0)</f>
        <v>0</v>
      </c>
      <c r="K55" s="21" t="s">
        <v>446</v>
      </c>
      <c r="L55" s="21" t="s">
        <v>447</v>
      </c>
    </row>
    <row r="56" customFormat="false" ht="19.5" hidden="false" customHeight="true" outlineLevel="0" collapsed="false">
      <c r="A56" s="15" t="s">
        <v>525</v>
      </c>
      <c r="B56" s="15" t="s">
        <v>533</v>
      </c>
      <c r="C56" s="15" t="s">
        <v>532</v>
      </c>
      <c r="D56" s="15" t="s">
        <v>148</v>
      </c>
      <c r="E56" s="15" t="n">
        <v>0.8</v>
      </c>
      <c r="F56" s="16"/>
      <c r="G56" s="26" t="n">
        <v>1</v>
      </c>
      <c r="H56" s="16"/>
      <c r="I56" s="17" t="n">
        <f aca="false">IFERROR(F56*E56*H56,0)</f>
        <v>0</v>
      </c>
      <c r="J56" s="17" t="n">
        <f aca="false">IFERROR(I56/G56,0)</f>
        <v>0</v>
      </c>
      <c r="K56" s="18" t="s">
        <v>446</v>
      </c>
      <c r="L56" s="18" t="s">
        <v>447</v>
      </c>
    </row>
    <row r="57" customFormat="false" ht="19.5" hidden="false" customHeight="true" outlineLevel="0" collapsed="false">
      <c r="A57" s="20" t="s">
        <v>525</v>
      </c>
      <c r="B57" s="20" t="s">
        <v>534</v>
      </c>
      <c r="C57" s="20" t="s">
        <v>535</v>
      </c>
      <c r="D57" s="20" t="s">
        <v>148</v>
      </c>
      <c r="E57" s="20" t="n">
        <v>0.35</v>
      </c>
      <c r="F57" s="16"/>
      <c r="G57" s="27" t="n">
        <v>1</v>
      </c>
      <c r="H57" s="16"/>
      <c r="I57" s="17" t="n">
        <f aca="false">IFERROR(F57*E57*H57,0)</f>
        <v>0</v>
      </c>
      <c r="J57" s="17" t="n">
        <f aca="false">IFERROR(I57/G57,0)</f>
        <v>0</v>
      </c>
      <c r="K57" s="21" t="s">
        <v>446</v>
      </c>
      <c r="L57" s="21" t="s">
        <v>447</v>
      </c>
    </row>
    <row r="58" customFormat="false" ht="18" hidden="false" customHeight="true" outlineLevel="0" collapsed="false">
      <c r="A58" s="14" t="s">
        <v>536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customFormat="false" ht="19.5" hidden="false" customHeight="true" outlineLevel="0" collapsed="false">
      <c r="A59" s="15" t="s">
        <v>537</v>
      </c>
      <c r="B59" s="15" t="s">
        <v>538</v>
      </c>
      <c r="C59" s="15" t="s">
        <v>539</v>
      </c>
      <c r="D59" s="15" t="s">
        <v>148</v>
      </c>
      <c r="E59" s="15" t="n">
        <v>0.45</v>
      </c>
      <c r="F59" s="16"/>
      <c r="G59" s="26" t="n">
        <v>1</v>
      </c>
      <c r="H59" s="16"/>
      <c r="I59" s="17" t="n">
        <f aca="false">IFERROR(F59*E59*H59,0)</f>
        <v>0</v>
      </c>
      <c r="J59" s="17" t="n">
        <f aca="false">IFERROR(I59/G59,0)</f>
        <v>0</v>
      </c>
      <c r="K59" s="18" t="s">
        <v>446</v>
      </c>
      <c r="L59" s="18" t="s">
        <v>447</v>
      </c>
    </row>
    <row r="60" customFormat="false" ht="19.5" hidden="false" customHeight="true" outlineLevel="0" collapsed="false">
      <c r="A60" s="20" t="s">
        <v>537</v>
      </c>
      <c r="B60" s="20" t="s">
        <v>540</v>
      </c>
      <c r="C60" s="20" t="s">
        <v>539</v>
      </c>
      <c r="D60" s="20" t="s">
        <v>148</v>
      </c>
      <c r="E60" s="20" t="n">
        <v>0.4</v>
      </c>
      <c r="F60" s="16"/>
      <c r="G60" s="27" t="n">
        <v>1</v>
      </c>
      <c r="H60" s="16"/>
      <c r="I60" s="17" t="n">
        <f aca="false">IFERROR(F60*E60*H60,0)</f>
        <v>0</v>
      </c>
      <c r="J60" s="17" t="n">
        <f aca="false">IFERROR(I60/G60,0)</f>
        <v>0</v>
      </c>
      <c r="K60" s="21" t="s">
        <v>446</v>
      </c>
      <c r="L60" s="21" t="s">
        <v>447</v>
      </c>
    </row>
    <row r="61" customFormat="false" ht="19.5" hidden="false" customHeight="true" outlineLevel="0" collapsed="false">
      <c r="A61" s="15" t="s">
        <v>537</v>
      </c>
      <c r="B61" s="15" t="s">
        <v>541</v>
      </c>
      <c r="C61" s="15" t="s">
        <v>542</v>
      </c>
      <c r="D61" s="15" t="s">
        <v>148</v>
      </c>
      <c r="E61" s="15" t="n">
        <v>0.42</v>
      </c>
      <c r="F61" s="16"/>
      <c r="G61" s="26" t="n">
        <v>1</v>
      </c>
      <c r="H61" s="16"/>
      <c r="I61" s="17" t="n">
        <f aca="false">IFERROR(F61*E61*H61,0)</f>
        <v>0</v>
      </c>
      <c r="J61" s="17" t="n">
        <f aca="false">IFERROR(I61/G61,0)</f>
        <v>0</v>
      </c>
      <c r="K61" s="18" t="s">
        <v>446</v>
      </c>
      <c r="L61" s="18" t="s">
        <v>447</v>
      </c>
    </row>
    <row r="62" customFormat="false" ht="19.5" hidden="false" customHeight="true" outlineLevel="0" collapsed="false">
      <c r="A62" s="20" t="s">
        <v>537</v>
      </c>
      <c r="B62" s="20" t="s">
        <v>543</v>
      </c>
      <c r="C62" s="20" t="s">
        <v>544</v>
      </c>
      <c r="D62" s="20" t="s">
        <v>148</v>
      </c>
      <c r="E62" s="20" t="n">
        <v>0.5</v>
      </c>
      <c r="F62" s="16"/>
      <c r="G62" s="27" t="n">
        <v>1</v>
      </c>
      <c r="H62" s="16"/>
      <c r="I62" s="17" t="n">
        <f aca="false">IFERROR(F62*E62*H62,0)</f>
        <v>0</v>
      </c>
      <c r="J62" s="17" t="n">
        <f aca="false">IFERROR(I62/G62,0)</f>
        <v>0</v>
      </c>
      <c r="K62" s="21" t="s">
        <v>446</v>
      </c>
      <c r="L62" s="21" t="s">
        <v>447</v>
      </c>
    </row>
    <row r="63" customFormat="false" ht="19.5" hidden="false" customHeight="true" outlineLevel="0" collapsed="false">
      <c r="A63" s="15" t="s">
        <v>537</v>
      </c>
      <c r="B63" s="15" t="s">
        <v>545</v>
      </c>
      <c r="C63" s="15" t="s">
        <v>539</v>
      </c>
      <c r="D63" s="15" t="s">
        <v>148</v>
      </c>
      <c r="E63" s="15" t="n">
        <v>0.35</v>
      </c>
      <c r="F63" s="16"/>
      <c r="G63" s="26" t="n">
        <v>1</v>
      </c>
      <c r="H63" s="16"/>
      <c r="I63" s="17" t="n">
        <f aca="false">IFERROR(F63*E63*H63,0)</f>
        <v>0</v>
      </c>
      <c r="J63" s="17" t="n">
        <f aca="false">IFERROR(I63/G63,0)</f>
        <v>0</v>
      </c>
      <c r="K63" s="18" t="s">
        <v>446</v>
      </c>
      <c r="L63" s="18" t="s">
        <v>447</v>
      </c>
    </row>
    <row r="64" customFormat="false" ht="18" hidden="false" customHeight="true" outlineLevel="0" collapsed="false">
      <c r="A64" s="14" t="s">
        <v>546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customFormat="false" ht="19.5" hidden="false" customHeight="true" outlineLevel="0" collapsed="false">
      <c r="A65" s="15" t="s">
        <v>547</v>
      </c>
      <c r="B65" s="15" t="s">
        <v>548</v>
      </c>
      <c r="C65" s="15" t="s">
        <v>549</v>
      </c>
      <c r="D65" s="15" t="s">
        <v>148</v>
      </c>
      <c r="E65" s="15" t="n">
        <v>0.78</v>
      </c>
      <c r="F65" s="16"/>
      <c r="G65" s="26" t="n">
        <v>1</v>
      </c>
      <c r="H65" s="16"/>
      <c r="I65" s="17" t="n">
        <f aca="false">IFERROR(F65*E65*H65,0)</f>
        <v>0</v>
      </c>
      <c r="J65" s="17" t="n">
        <f aca="false">IFERROR(I65/G65,0)</f>
        <v>0</v>
      </c>
      <c r="K65" s="18" t="s">
        <v>446</v>
      </c>
      <c r="L65" s="18" t="s">
        <v>447</v>
      </c>
    </row>
    <row r="66" customFormat="false" ht="19.5" hidden="false" customHeight="true" outlineLevel="0" collapsed="false">
      <c r="A66" s="20" t="s">
        <v>547</v>
      </c>
      <c r="B66" s="20" t="s">
        <v>550</v>
      </c>
      <c r="C66" s="20" t="s">
        <v>549</v>
      </c>
      <c r="D66" s="20" t="s">
        <v>148</v>
      </c>
      <c r="E66" s="20" t="n">
        <v>0.8</v>
      </c>
      <c r="F66" s="16"/>
      <c r="G66" s="27" t="n">
        <v>1</v>
      </c>
      <c r="H66" s="16"/>
      <c r="I66" s="17" t="n">
        <f aca="false">IFERROR(F66*E66*H66,0)</f>
        <v>0</v>
      </c>
      <c r="J66" s="17" t="n">
        <f aca="false">IFERROR(I66/G66,0)</f>
        <v>0</v>
      </c>
      <c r="K66" s="21" t="s">
        <v>446</v>
      </c>
      <c r="L66" s="21" t="s">
        <v>447</v>
      </c>
    </row>
    <row r="67" customFormat="false" ht="19.5" hidden="false" customHeight="true" outlineLevel="0" collapsed="false">
      <c r="A67" s="15" t="s">
        <v>547</v>
      </c>
      <c r="B67" s="15" t="s">
        <v>551</v>
      </c>
      <c r="C67" s="15" t="s">
        <v>549</v>
      </c>
      <c r="D67" s="15" t="s">
        <v>148</v>
      </c>
      <c r="E67" s="15" t="n">
        <v>0.65</v>
      </c>
      <c r="F67" s="16"/>
      <c r="G67" s="26" t="n">
        <v>1</v>
      </c>
      <c r="H67" s="16"/>
      <c r="I67" s="17" t="n">
        <f aca="false">IFERROR(F67*E67*H67,0)</f>
        <v>0</v>
      </c>
      <c r="J67" s="17" t="n">
        <f aca="false">IFERROR(I67/G67,0)</f>
        <v>0</v>
      </c>
      <c r="K67" s="18" t="s">
        <v>446</v>
      </c>
      <c r="L67" s="18" t="s">
        <v>447</v>
      </c>
    </row>
    <row r="68" customFormat="false" ht="19.5" hidden="false" customHeight="true" outlineLevel="0" collapsed="false">
      <c r="A68" s="20" t="s">
        <v>547</v>
      </c>
      <c r="B68" s="20" t="s">
        <v>552</v>
      </c>
      <c r="C68" s="20" t="s">
        <v>549</v>
      </c>
      <c r="D68" s="20" t="s">
        <v>148</v>
      </c>
      <c r="E68" s="20" t="n">
        <v>0.85</v>
      </c>
      <c r="F68" s="16"/>
      <c r="G68" s="27" t="n">
        <v>1</v>
      </c>
      <c r="H68" s="16"/>
      <c r="I68" s="17" t="n">
        <f aca="false">IFERROR(F68*E68*H68,0)</f>
        <v>0</v>
      </c>
      <c r="J68" s="17" t="n">
        <f aca="false">IFERROR(I68/G68,0)</f>
        <v>0</v>
      </c>
      <c r="K68" s="21" t="s">
        <v>446</v>
      </c>
      <c r="L68" s="21" t="s">
        <v>447</v>
      </c>
    </row>
    <row r="69" customFormat="false" ht="19.5" hidden="false" customHeight="true" outlineLevel="0" collapsed="false">
      <c r="A69" s="15" t="s">
        <v>547</v>
      </c>
      <c r="B69" s="15" t="s">
        <v>553</v>
      </c>
      <c r="C69" s="15" t="s">
        <v>549</v>
      </c>
      <c r="D69" s="15" t="s">
        <v>148</v>
      </c>
      <c r="E69" s="15" t="n">
        <v>0.92</v>
      </c>
      <c r="F69" s="16"/>
      <c r="G69" s="26" t="n">
        <v>1</v>
      </c>
      <c r="H69" s="16"/>
      <c r="I69" s="17" t="n">
        <f aca="false">IFERROR(F69*E69*H69,0)</f>
        <v>0</v>
      </c>
      <c r="J69" s="17" t="n">
        <f aca="false">IFERROR(I69/G69,0)</f>
        <v>0</v>
      </c>
      <c r="K69" s="18" t="s">
        <v>446</v>
      </c>
      <c r="L69" s="18" t="s">
        <v>447</v>
      </c>
    </row>
    <row r="70" customFormat="false" ht="19.5" hidden="false" customHeight="true" outlineLevel="0" collapsed="false">
      <c r="A70" s="20" t="s">
        <v>547</v>
      </c>
      <c r="B70" s="20" t="s">
        <v>554</v>
      </c>
      <c r="C70" s="20" t="s">
        <v>549</v>
      </c>
      <c r="D70" s="20" t="s">
        <v>148</v>
      </c>
      <c r="E70" s="20" t="n">
        <v>0.75</v>
      </c>
      <c r="F70" s="16"/>
      <c r="G70" s="27" t="n">
        <v>1</v>
      </c>
      <c r="H70" s="16"/>
      <c r="I70" s="17" t="n">
        <f aca="false">IFERROR(F70*E70*H70,0)</f>
        <v>0</v>
      </c>
      <c r="J70" s="17" t="n">
        <f aca="false">IFERROR(I70/G70,0)</f>
        <v>0</v>
      </c>
      <c r="K70" s="21" t="s">
        <v>446</v>
      </c>
      <c r="L70" s="21" t="s">
        <v>447</v>
      </c>
    </row>
    <row r="71" customFormat="false" ht="19.5" hidden="false" customHeight="true" outlineLevel="0" collapsed="false">
      <c r="A71" s="15" t="s">
        <v>547</v>
      </c>
      <c r="B71" s="15" t="s">
        <v>555</v>
      </c>
      <c r="C71" s="15" t="s">
        <v>549</v>
      </c>
      <c r="D71" s="15" t="s">
        <v>148</v>
      </c>
      <c r="E71" s="15" t="n">
        <v>0.6</v>
      </c>
      <c r="F71" s="16"/>
      <c r="G71" s="26" t="n">
        <v>1</v>
      </c>
      <c r="H71" s="16"/>
      <c r="I71" s="17" t="n">
        <f aca="false">IFERROR(F71*E71*H71,0)</f>
        <v>0</v>
      </c>
      <c r="J71" s="17" t="n">
        <f aca="false">IFERROR(I71/G71,0)</f>
        <v>0</v>
      </c>
      <c r="K71" s="18" t="s">
        <v>446</v>
      </c>
      <c r="L71" s="18" t="s">
        <v>447</v>
      </c>
    </row>
    <row r="72" customFormat="false" ht="19.5" hidden="false" customHeight="true" outlineLevel="0" collapsed="false">
      <c r="A72" s="20" t="s">
        <v>547</v>
      </c>
      <c r="B72" s="20" t="s">
        <v>556</v>
      </c>
      <c r="C72" s="20" t="s">
        <v>549</v>
      </c>
      <c r="D72" s="20" t="s">
        <v>148</v>
      </c>
      <c r="E72" s="20" t="n">
        <v>0.48</v>
      </c>
      <c r="F72" s="16"/>
      <c r="G72" s="27" t="n">
        <v>1</v>
      </c>
      <c r="H72" s="16"/>
      <c r="I72" s="17" t="n">
        <f aca="false">IFERROR(F72*E72*H72,0)</f>
        <v>0</v>
      </c>
      <c r="J72" s="17" t="n">
        <f aca="false">IFERROR(I72/G72,0)</f>
        <v>0</v>
      </c>
      <c r="K72" s="21" t="s">
        <v>446</v>
      </c>
      <c r="L72" s="21" t="s">
        <v>447</v>
      </c>
    </row>
    <row r="73" customFormat="false" ht="19.5" hidden="false" customHeight="true" outlineLevel="0" collapsed="false">
      <c r="A73" s="15" t="s">
        <v>547</v>
      </c>
      <c r="B73" s="15" t="s">
        <v>557</v>
      </c>
      <c r="C73" s="15" t="s">
        <v>549</v>
      </c>
      <c r="D73" s="15" t="s">
        <v>148</v>
      </c>
      <c r="E73" s="15" t="n">
        <v>0.9</v>
      </c>
      <c r="F73" s="16"/>
      <c r="G73" s="26" t="n">
        <v>1</v>
      </c>
      <c r="H73" s="16"/>
      <c r="I73" s="17" t="n">
        <f aca="false">IFERROR(F73*E73*H73,0)</f>
        <v>0</v>
      </c>
      <c r="J73" s="17" t="n">
        <f aca="false">IFERROR(I73/G73,0)</f>
        <v>0</v>
      </c>
      <c r="K73" s="18" t="s">
        <v>446</v>
      </c>
      <c r="L73" s="18" t="s">
        <v>447</v>
      </c>
    </row>
    <row r="74" customFormat="false" ht="19.5" hidden="false" customHeight="true" outlineLevel="0" collapsed="false">
      <c r="A74" s="20" t="s">
        <v>547</v>
      </c>
      <c r="B74" s="20" t="s">
        <v>558</v>
      </c>
      <c r="C74" s="20" t="s">
        <v>549</v>
      </c>
      <c r="D74" s="20" t="s">
        <v>148</v>
      </c>
      <c r="E74" s="20" t="n">
        <v>0.95</v>
      </c>
      <c r="F74" s="16"/>
      <c r="G74" s="27" t="n">
        <v>1</v>
      </c>
      <c r="H74" s="16"/>
      <c r="I74" s="17" t="n">
        <f aca="false">IFERROR(F74*E74*H74,0)</f>
        <v>0</v>
      </c>
      <c r="J74" s="17" t="n">
        <f aca="false">IFERROR(I74/G74,0)</f>
        <v>0</v>
      </c>
      <c r="K74" s="21" t="s">
        <v>446</v>
      </c>
      <c r="L74" s="21" t="s">
        <v>447</v>
      </c>
    </row>
    <row r="75" customFormat="false" ht="18" hidden="false" customHeight="true" outlineLevel="0" collapsed="false">
      <c r="A75" s="14" t="s">
        <v>559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customFormat="false" ht="19.5" hidden="false" customHeight="true" outlineLevel="0" collapsed="false">
      <c r="A76" s="15" t="s">
        <v>560</v>
      </c>
      <c r="B76" s="15" t="s">
        <v>561</v>
      </c>
      <c r="C76" s="15" t="s">
        <v>539</v>
      </c>
      <c r="D76" s="15" t="s">
        <v>148</v>
      </c>
      <c r="E76" s="15" t="n">
        <v>0.55</v>
      </c>
      <c r="F76" s="16"/>
      <c r="G76" s="26" t="n">
        <v>1</v>
      </c>
      <c r="H76" s="16"/>
      <c r="I76" s="17" t="n">
        <f aca="false">IFERROR(F76*E76*H76,0)</f>
        <v>0</v>
      </c>
      <c r="J76" s="17" t="n">
        <f aca="false">IFERROR(I76/G76,0)</f>
        <v>0</v>
      </c>
      <c r="K76" s="18" t="s">
        <v>446</v>
      </c>
      <c r="L76" s="18" t="s">
        <v>447</v>
      </c>
    </row>
    <row r="77" customFormat="false" ht="19.5" hidden="false" customHeight="true" outlineLevel="0" collapsed="false">
      <c r="A77" s="20" t="s">
        <v>560</v>
      </c>
      <c r="B77" s="20" t="s">
        <v>562</v>
      </c>
      <c r="C77" s="20" t="s">
        <v>539</v>
      </c>
      <c r="D77" s="20" t="s">
        <v>148</v>
      </c>
      <c r="E77" s="20" t="n">
        <v>0.88</v>
      </c>
      <c r="F77" s="16"/>
      <c r="G77" s="27" t="n">
        <v>1</v>
      </c>
      <c r="H77" s="16"/>
      <c r="I77" s="17" t="n">
        <f aca="false">IFERROR(F77*E77*H77,0)</f>
        <v>0</v>
      </c>
      <c r="J77" s="17" t="n">
        <f aca="false">IFERROR(I77/G77,0)</f>
        <v>0</v>
      </c>
      <c r="K77" s="21" t="s">
        <v>446</v>
      </c>
      <c r="L77" s="21" t="s">
        <v>447</v>
      </c>
    </row>
    <row r="78" customFormat="false" ht="19.5" hidden="false" customHeight="true" outlineLevel="0" collapsed="false">
      <c r="A78" s="15" t="s">
        <v>560</v>
      </c>
      <c r="B78" s="15" t="s">
        <v>563</v>
      </c>
      <c r="C78" s="15" t="s">
        <v>539</v>
      </c>
      <c r="D78" s="15" t="s">
        <v>148</v>
      </c>
      <c r="E78" s="15" t="n">
        <v>0.75</v>
      </c>
      <c r="F78" s="16"/>
      <c r="G78" s="26" t="n">
        <v>1</v>
      </c>
      <c r="H78" s="16"/>
      <c r="I78" s="17" t="n">
        <f aca="false">IFERROR(F78*E78*H78,0)</f>
        <v>0</v>
      </c>
      <c r="J78" s="17" t="n">
        <f aca="false">IFERROR(I78/G78,0)</f>
        <v>0</v>
      </c>
      <c r="K78" s="18" t="s">
        <v>446</v>
      </c>
      <c r="L78" s="18" t="s">
        <v>447</v>
      </c>
    </row>
    <row r="79" customFormat="false" ht="19.5" hidden="false" customHeight="true" outlineLevel="0" collapsed="false">
      <c r="A79" s="20" t="s">
        <v>560</v>
      </c>
      <c r="B79" s="20" t="s">
        <v>564</v>
      </c>
      <c r="C79" s="20" t="s">
        <v>539</v>
      </c>
      <c r="D79" s="20" t="s">
        <v>148</v>
      </c>
      <c r="E79" s="20" t="n">
        <v>0.9</v>
      </c>
      <c r="F79" s="16"/>
      <c r="G79" s="27" t="n">
        <v>1</v>
      </c>
      <c r="H79" s="16"/>
      <c r="I79" s="17" t="n">
        <f aca="false">IFERROR(F79*E79*H79,0)</f>
        <v>0</v>
      </c>
      <c r="J79" s="17" t="n">
        <f aca="false">IFERROR(I79/G79,0)</f>
        <v>0</v>
      </c>
      <c r="K79" s="21" t="s">
        <v>446</v>
      </c>
      <c r="L79" s="21" t="s">
        <v>447</v>
      </c>
    </row>
    <row r="80" customFormat="false" ht="18" hidden="false" customHeight="true" outlineLevel="0" collapsed="false">
      <c r="A80" s="14" t="s">
        <v>565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customFormat="false" ht="19.5" hidden="false" customHeight="true" outlineLevel="0" collapsed="false">
      <c r="A81" s="15" t="s">
        <v>566</v>
      </c>
      <c r="B81" s="15" t="s">
        <v>567</v>
      </c>
      <c r="C81" s="15" t="s">
        <v>539</v>
      </c>
      <c r="D81" s="15" t="s">
        <v>148</v>
      </c>
      <c r="E81" s="15" t="n">
        <v>0.88</v>
      </c>
      <c r="F81" s="16"/>
      <c r="G81" s="26" t="n">
        <v>1</v>
      </c>
      <c r="H81" s="16"/>
      <c r="I81" s="17" t="n">
        <f aca="false">IFERROR(F81*E81*H81,0)</f>
        <v>0</v>
      </c>
      <c r="J81" s="17" t="n">
        <f aca="false">IFERROR(I81/G81,0)</f>
        <v>0</v>
      </c>
      <c r="K81" s="18" t="s">
        <v>446</v>
      </c>
      <c r="L81" s="18" t="s">
        <v>447</v>
      </c>
    </row>
    <row r="82" customFormat="false" ht="19.5" hidden="false" customHeight="true" outlineLevel="0" collapsed="false">
      <c r="A82" s="20" t="s">
        <v>566</v>
      </c>
      <c r="B82" s="20" t="s">
        <v>568</v>
      </c>
      <c r="C82" s="20" t="s">
        <v>539</v>
      </c>
      <c r="D82" s="20" t="s">
        <v>148</v>
      </c>
      <c r="E82" s="20" t="n">
        <v>0.92</v>
      </c>
      <c r="F82" s="16"/>
      <c r="G82" s="27" t="n">
        <v>1</v>
      </c>
      <c r="H82" s="16"/>
      <c r="I82" s="17" t="n">
        <f aca="false">IFERROR(F82*E82*H82,0)</f>
        <v>0</v>
      </c>
      <c r="J82" s="17" t="n">
        <f aca="false">IFERROR(I82/G82,0)</f>
        <v>0</v>
      </c>
      <c r="K82" s="21" t="s">
        <v>446</v>
      </c>
      <c r="L82" s="21" t="s">
        <v>447</v>
      </c>
    </row>
    <row r="83" customFormat="false" ht="19.5" hidden="false" customHeight="true" outlineLevel="0" collapsed="false">
      <c r="A83" s="15" t="s">
        <v>566</v>
      </c>
      <c r="B83" s="15" t="s">
        <v>569</v>
      </c>
      <c r="C83" s="15" t="s">
        <v>570</v>
      </c>
      <c r="D83" s="15" t="s">
        <v>148</v>
      </c>
      <c r="E83" s="15" t="n">
        <v>0.35</v>
      </c>
      <c r="F83" s="16"/>
      <c r="G83" s="26" t="n">
        <v>1</v>
      </c>
      <c r="H83" s="16"/>
      <c r="I83" s="17" t="n">
        <f aca="false">IFERROR(F83*E83*H83,0)</f>
        <v>0</v>
      </c>
      <c r="J83" s="17" t="n">
        <f aca="false">IFERROR(I83/G83,0)</f>
        <v>0</v>
      </c>
      <c r="K83" s="18" t="s">
        <v>446</v>
      </c>
      <c r="L83" s="18" t="s">
        <v>447</v>
      </c>
    </row>
    <row r="84" customFormat="false" ht="19.5" hidden="false" customHeight="true" outlineLevel="0" collapsed="false">
      <c r="A84" s="20" t="s">
        <v>566</v>
      </c>
      <c r="B84" s="20" t="s">
        <v>571</v>
      </c>
      <c r="C84" s="20" t="s">
        <v>516</v>
      </c>
      <c r="D84" s="20" t="s">
        <v>148</v>
      </c>
      <c r="E84" s="20" t="n">
        <v>0.28</v>
      </c>
      <c r="F84" s="16"/>
      <c r="G84" s="27" t="n">
        <v>1</v>
      </c>
      <c r="H84" s="16"/>
      <c r="I84" s="17" t="n">
        <f aca="false">IFERROR(F84*E84*H84,0)</f>
        <v>0</v>
      </c>
      <c r="J84" s="17" t="n">
        <f aca="false">IFERROR(I84/G84,0)</f>
        <v>0</v>
      </c>
      <c r="K84" s="21" t="s">
        <v>446</v>
      </c>
      <c r="L84" s="21" t="s">
        <v>447</v>
      </c>
    </row>
    <row r="85" customFormat="false" ht="18" hidden="false" customHeight="true" outlineLevel="0" collapsed="false">
      <c r="A85" s="23" t="s">
        <v>430</v>
      </c>
      <c r="B85" s="23"/>
      <c r="C85" s="23"/>
      <c r="D85" s="23"/>
      <c r="E85" s="23"/>
      <c r="F85" s="23"/>
      <c r="G85" s="23"/>
      <c r="H85" s="23"/>
      <c r="I85" s="24" t="n">
        <f aca="false">SUM(I6:I84)</f>
        <v>0</v>
      </c>
      <c r="J85" s="23"/>
      <c r="K85" s="23"/>
      <c r="L85" s="23"/>
    </row>
    <row r="86" customFormat="false" ht="15.75" hidden="false" customHeight="true" outlineLevel="0" collapsed="false"/>
    <row r="87" customFormat="false" ht="15.75" hidden="false" customHeight="true" outlineLevel="0" collapsed="false">
      <c r="A87" s="25" t="s">
        <v>572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A1:O1"/>
    <mergeCell ref="A2:O2"/>
    <mergeCell ref="A3:O3"/>
    <mergeCell ref="A6:L6"/>
    <mergeCell ref="A16:L16"/>
    <mergeCell ref="A27:L27"/>
    <mergeCell ref="A35:L35"/>
    <mergeCell ref="A43:L43"/>
    <mergeCell ref="A51:L51"/>
    <mergeCell ref="A58:L58"/>
    <mergeCell ref="A64:L64"/>
    <mergeCell ref="A75:L75"/>
    <mergeCell ref="A80:L80"/>
    <mergeCell ref="A87:L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5.29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7" min="7" style="1" width="16.14"/>
    <col collapsed="false" customWidth="true" hidden="false" outlineLevel="0" max="9" min="8" style="1" width="24"/>
    <col collapsed="false" customWidth="true" hidden="false" outlineLevel="0" max="11" min="10" style="1" width="13.57"/>
    <col collapsed="false" customWidth="true" hidden="false" outlineLevel="0" max="14" min="12" style="1" width="12"/>
    <col collapsed="false" customWidth="true" hidden="false" outlineLevel="0" max="28" min="15" style="1" width="8.71"/>
  </cols>
  <sheetData>
    <row r="1" customFormat="false" ht="27.75" hidden="false" customHeight="true" outlineLevel="0" collapsed="false">
      <c r="A1" s="10" t="s">
        <v>573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30" hidden="false" customHeight="true" outlineLevel="0" collapsed="false">
      <c r="A2" s="11" t="s">
        <v>574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customFormat="false" ht="7.5" hidden="false" customHeight="true" outlineLevel="0" collapsed="false">
      <c r="I4" s="28"/>
    </row>
    <row r="5" customFormat="false" ht="36" hidden="false" customHeight="true" outlineLevel="0" collapsed="false">
      <c r="A5" s="29" t="s">
        <v>573</v>
      </c>
      <c r="B5" s="29"/>
      <c r="C5" s="29" t="s">
        <v>575</v>
      </c>
      <c r="D5" s="29" t="s">
        <v>576</v>
      </c>
      <c r="E5" s="29" t="s">
        <v>577</v>
      </c>
      <c r="F5" s="29" t="s">
        <v>90</v>
      </c>
      <c r="G5" s="29" t="s">
        <v>578</v>
      </c>
      <c r="H5" s="29" t="s">
        <v>579</v>
      </c>
      <c r="I5" s="30" t="s">
        <v>580</v>
      </c>
      <c r="J5" s="29" t="s">
        <v>581</v>
      </c>
      <c r="K5" s="29" t="s">
        <v>582</v>
      </c>
      <c r="L5" s="29" t="s">
        <v>583</v>
      </c>
      <c r="M5" s="29" t="s">
        <v>584</v>
      </c>
      <c r="N5" s="29" t="s">
        <v>98</v>
      </c>
    </row>
    <row r="6" customFormat="false" ht="15" hidden="false" customHeight="true" outlineLevel="0" collapsed="false">
      <c r="A6" s="1" t="s">
        <v>585</v>
      </c>
      <c r="B6" s="1" t="s">
        <v>586</v>
      </c>
      <c r="C6" s="1" t="s">
        <v>587</v>
      </c>
      <c r="D6" s="1" t="s">
        <v>588</v>
      </c>
      <c r="E6" s="1" t="n">
        <v>10</v>
      </c>
      <c r="F6" s="1" t="s">
        <v>589</v>
      </c>
      <c r="G6" s="31" t="n">
        <v>0.21</v>
      </c>
      <c r="H6" s="1" t="n">
        <v>8E-005</v>
      </c>
      <c r="I6" s="28" t="n">
        <v>5E-005</v>
      </c>
      <c r="J6" s="1" t="n">
        <v>0.00072</v>
      </c>
      <c r="K6" s="1" t="n">
        <f aca="false">IFERROR(E6*((G6*J6)+H6),0)</f>
        <v>0.002312</v>
      </c>
      <c r="L6" s="32" t="n">
        <v>2025</v>
      </c>
      <c r="M6" s="1" t="s">
        <v>590</v>
      </c>
      <c r="N6" s="1" t="s">
        <v>591</v>
      </c>
    </row>
    <row r="7" customFormat="false" ht="15" hidden="false" customHeight="true" outlineLevel="0" collapsed="false">
      <c r="A7" s="1" t="s">
        <v>585</v>
      </c>
      <c r="B7" s="1" t="s">
        <v>592</v>
      </c>
      <c r="C7" s="1" t="s">
        <v>593</v>
      </c>
      <c r="D7" s="1" t="s">
        <v>588</v>
      </c>
      <c r="F7" s="1" t="s">
        <v>589</v>
      </c>
      <c r="G7" s="31" t="n">
        <v>0.05</v>
      </c>
      <c r="H7" s="1" t="n">
        <v>1E-005</v>
      </c>
      <c r="I7" s="28" t="n">
        <v>5E-006</v>
      </c>
      <c r="K7" s="1" t="n">
        <f aca="false">IFERROR(E7*((G7*J7)+H7),0)</f>
        <v>0</v>
      </c>
      <c r="L7" s="32" t="n">
        <v>2025</v>
      </c>
      <c r="M7" s="1" t="s">
        <v>594</v>
      </c>
    </row>
    <row r="8" customFormat="false" ht="15" hidden="false" customHeight="true" outlineLevel="0" collapsed="false">
      <c r="A8" s="1" t="s">
        <v>585</v>
      </c>
      <c r="B8" s="1" t="s">
        <v>595</v>
      </c>
      <c r="C8" s="1" t="s">
        <v>596</v>
      </c>
      <c r="D8" s="1" t="s">
        <v>597</v>
      </c>
      <c r="F8" s="1" t="s">
        <v>589</v>
      </c>
      <c r="G8" s="31" t="n">
        <v>0.05</v>
      </c>
      <c r="H8" s="1" t="n">
        <v>1E-005</v>
      </c>
      <c r="I8" s="28" t="n">
        <v>5E-006</v>
      </c>
      <c r="K8" s="1" t="n">
        <f aca="false">IFERROR(E8*((G8*J8)+H8),0)</f>
        <v>0</v>
      </c>
      <c r="L8" s="32" t="n">
        <v>2025</v>
      </c>
      <c r="M8" s="1" t="s">
        <v>594</v>
      </c>
    </row>
    <row r="9" customFormat="false" ht="15" hidden="false" customHeight="true" outlineLevel="0" collapsed="false">
      <c r="A9" s="1" t="s">
        <v>585</v>
      </c>
      <c r="B9" s="1" t="s">
        <v>598</v>
      </c>
      <c r="C9" s="1" t="s">
        <v>485</v>
      </c>
      <c r="D9" s="1" t="s">
        <v>599</v>
      </c>
      <c r="F9" s="1" t="s">
        <v>589</v>
      </c>
      <c r="G9" s="31" t="n">
        <v>0.05</v>
      </c>
      <c r="H9" s="1" t="n">
        <v>1.5E-005</v>
      </c>
      <c r="I9" s="28" t="n">
        <v>7E-006</v>
      </c>
      <c r="K9" s="1" t="n">
        <f aca="false">IFERROR(E9*((G9*J9)+H9),0)</f>
        <v>0</v>
      </c>
      <c r="L9" s="32" t="n">
        <v>2025</v>
      </c>
      <c r="M9" s="1" t="s">
        <v>594</v>
      </c>
    </row>
    <row r="10" customFormat="false" ht="15" hidden="false" customHeight="true" outlineLevel="0" collapsed="false">
      <c r="A10" s="1" t="s">
        <v>585</v>
      </c>
      <c r="B10" s="1" t="s">
        <v>466</v>
      </c>
      <c r="C10" s="1" t="s">
        <v>593</v>
      </c>
      <c r="D10" s="1" t="s">
        <v>588</v>
      </c>
      <c r="F10" s="1" t="s">
        <v>589</v>
      </c>
      <c r="G10" s="31" t="n">
        <v>0</v>
      </c>
      <c r="H10" s="1" t="n">
        <v>0.00075</v>
      </c>
      <c r="I10" s="28" t="n">
        <v>0.0005</v>
      </c>
      <c r="K10" s="1" t="n">
        <f aca="false">IFERROR(E10*((G10*J10)+H10),0)</f>
        <v>0</v>
      </c>
      <c r="L10" s="32" t="n">
        <v>2025</v>
      </c>
      <c r="M10" s="1" t="s">
        <v>600</v>
      </c>
      <c r="N10" s="1" t="s">
        <v>601</v>
      </c>
    </row>
    <row r="11" customFormat="false" ht="15" hidden="false" customHeight="true" outlineLevel="0" collapsed="false">
      <c r="A11" s="1" t="s">
        <v>585</v>
      </c>
      <c r="B11" s="1" t="s">
        <v>602</v>
      </c>
      <c r="C11" s="1" t="s">
        <v>593</v>
      </c>
      <c r="D11" s="1" t="s">
        <v>588</v>
      </c>
      <c r="F11" s="1" t="s">
        <v>589</v>
      </c>
      <c r="G11" s="31" t="n">
        <v>0</v>
      </c>
      <c r="H11" s="1" t="n">
        <v>1E-005</v>
      </c>
      <c r="I11" s="28" t="n">
        <v>5E-006</v>
      </c>
      <c r="K11" s="1" t="n">
        <f aca="false">IFERROR(E11*((G11*J11)+H11),0)</f>
        <v>0</v>
      </c>
      <c r="L11" s="32" t="n">
        <v>2025</v>
      </c>
      <c r="M11" s="1" t="s">
        <v>594</v>
      </c>
    </row>
    <row r="12" customFormat="false" ht="15" hidden="false" customHeight="true" outlineLevel="0" collapsed="false">
      <c r="A12" s="1" t="s">
        <v>585</v>
      </c>
      <c r="B12" s="1" t="s">
        <v>603</v>
      </c>
      <c r="C12" s="1" t="s">
        <v>596</v>
      </c>
      <c r="D12" s="1" t="s">
        <v>597</v>
      </c>
      <c r="F12" s="1" t="s">
        <v>589</v>
      </c>
      <c r="G12" s="31" t="n">
        <v>0</v>
      </c>
      <c r="H12" s="1" t="n">
        <v>1E-005</v>
      </c>
      <c r="I12" s="28" t="n">
        <v>5E-006</v>
      </c>
      <c r="K12" s="1" t="n">
        <f aca="false">IFERROR(E12*((G12*J12)+H12),0)</f>
        <v>0</v>
      </c>
      <c r="L12" s="32" t="n">
        <v>2025</v>
      </c>
      <c r="M12" s="1" t="s">
        <v>594</v>
      </c>
    </row>
    <row r="13" customFormat="false" ht="15" hidden="false" customHeight="true" outlineLevel="0" collapsed="false">
      <c r="A13" s="1" t="s">
        <v>604</v>
      </c>
      <c r="B13" s="1" t="s">
        <v>605</v>
      </c>
      <c r="C13" s="1" t="s">
        <v>606</v>
      </c>
      <c r="D13" s="1" t="s">
        <v>588</v>
      </c>
      <c r="E13" s="1" t="s">
        <v>149</v>
      </c>
      <c r="F13" s="1" t="s">
        <v>607</v>
      </c>
      <c r="G13" s="31" t="n">
        <v>0</v>
      </c>
      <c r="H13" s="1" t="n">
        <v>0.00074</v>
      </c>
      <c r="I13" s="28" t="n">
        <v>0.0005</v>
      </c>
      <c r="K13" s="1" t="n">
        <f aca="false">IFERROR(E13*((G13*J13)+H13),0)</f>
        <v>0</v>
      </c>
      <c r="L13" s="32" t="n">
        <v>2025</v>
      </c>
      <c r="M13" s="1" t="s">
        <v>600</v>
      </c>
    </row>
    <row r="14" customFormat="false" ht="15" hidden="false" customHeight="true" outlineLevel="0" collapsed="false">
      <c r="A14" s="1" t="s">
        <v>604</v>
      </c>
      <c r="B14" s="1" t="s">
        <v>608</v>
      </c>
      <c r="C14" s="1" t="s">
        <v>609</v>
      </c>
      <c r="D14" s="1" t="s">
        <v>588</v>
      </c>
      <c r="E14" s="1" t="s">
        <v>149</v>
      </c>
      <c r="F14" s="1" t="s">
        <v>607</v>
      </c>
      <c r="G14" s="31" t="n">
        <v>0</v>
      </c>
      <c r="H14" s="1" t="n">
        <v>0.0006</v>
      </c>
      <c r="I14" s="28" t="n">
        <v>0.00042</v>
      </c>
      <c r="K14" s="1" t="n">
        <f aca="false">IFERROR(E14*((G14*J14)+H14),0)</f>
        <v>0</v>
      </c>
      <c r="L14" s="32" t="n">
        <v>2025</v>
      </c>
      <c r="M14" s="1" t="s">
        <v>600</v>
      </c>
    </row>
    <row r="15" customFormat="false" ht="15" hidden="false" customHeight="true" outlineLevel="0" collapsed="false">
      <c r="A15" s="1" t="s">
        <v>604</v>
      </c>
      <c r="B15" s="1" t="s">
        <v>610</v>
      </c>
      <c r="C15" s="1" t="s">
        <v>611</v>
      </c>
      <c r="D15" s="1" t="s">
        <v>612</v>
      </c>
      <c r="E15" s="1" t="s">
        <v>149</v>
      </c>
      <c r="F15" s="1" t="s">
        <v>607</v>
      </c>
      <c r="G15" s="31" t="n">
        <v>0</v>
      </c>
      <c r="H15" s="1" t="n">
        <v>0.00077</v>
      </c>
      <c r="I15" s="28" t="n">
        <v>0.00052</v>
      </c>
      <c r="K15" s="1" t="n">
        <f aca="false">IFERROR(E15*((G15*J15)+H15),0)</f>
        <v>0</v>
      </c>
      <c r="L15" s="32" t="n">
        <v>2025</v>
      </c>
      <c r="M15" s="1" t="s">
        <v>600</v>
      </c>
    </row>
    <row r="16" customFormat="false" ht="15" hidden="false" customHeight="true" outlineLevel="0" collapsed="false">
      <c r="A16" s="1" t="s">
        <v>604</v>
      </c>
      <c r="B16" s="1" t="s">
        <v>613</v>
      </c>
      <c r="C16" s="1" t="s">
        <v>614</v>
      </c>
      <c r="D16" s="1" t="s">
        <v>388</v>
      </c>
      <c r="E16" s="1" t="s">
        <v>149</v>
      </c>
      <c r="F16" s="1" t="s">
        <v>607</v>
      </c>
      <c r="G16" s="31" t="n">
        <v>0</v>
      </c>
      <c r="H16" s="1" t="n">
        <v>0.00075</v>
      </c>
      <c r="I16" s="28" t="n">
        <v>0.0005</v>
      </c>
      <c r="K16" s="1" t="n">
        <f aca="false">IFERROR(E16*((G16*J16)+H16),0)</f>
        <v>0</v>
      </c>
      <c r="L16" s="32" t="n">
        <v>2025</v>
      </c>
      <c r="M16" s="1" t="s">
        <v>600</v>
      </c>
    </row>
    <row r="17" customFormat="false" ht="15" hidden="false" customHeight="true" outlineLevel="0" collapsed="false">
      <c r="A17" s="1" t="s">
        <v>604</v>
      </c>
      <c r="B17" s="1" t="s">
        <v>615</v>
      </c>
      <c r="C17" s="1" t="s">
        <v>616</v>
      </c>
      <c r="D17" s="1" t="s">
        <v>599</v>
      </c>
      <c r="E17" s="1" t="s">
        <v>149</v>
      </c>
      <c r="F17" s="1" t="s">
        <v>617</v>
      </c>
      <c r="G17" s="31" t="n">
        <v>0</v>
      </c>
      <c r="H17" s="1" t="n">
        <v>0.0029</v>
      </c>
      <c r="I17" s="28" t="n">
        <v>0.0021</v>
      </c>
      <c r="K17" s="1" t="n">
        <f aca="false">IFERROR(E17*((G17*J17)+H17),0)</f>
        <v>0</v>
      </c>
      <c r="L17" s="32" t="n">
        <v>2025</v>
      </c>
      <c r="M17" s="1" t="s">
        <v>594</v>
      </c>
      <c r="N17" s="1" t="s">
        <v>618</v>
      </c>
    </row>
    <row r="18" customFormat="false" ht="15" hidden="false" customHeight="true" outlineLevel="0" collapsed="false">
      <c r="A18" s="1" t="s">
        <v>604</v>
      </c>
      <c r="B18" s="1" t="s">
        <v>619</v>
      </c>
      <c r="C18" s="1" t="s">
        <v>620</v>
      </c>
      <c r="D18" s="1" t="s">
        <v>599</v>
      </c>
      <c r="E18" s="1" t="s">
        <v>149</v>
      </c>
      <c r="F18" s="1" t="s">
        <v>607</v>
      </c>
      <c r="G18" s="31" t="n">
        <v>0</v>
      </c>
      <c r="H18" s="1" t="n">
        <v>0.00068</v>
      </c>
      <c r="I18" s="28" t="n">
        <v>0.00048</v>
      </c>
      <c r="K18" s="1" t="n">
        <f aca="false">IFERROR(E18*((G18*J18)+H18),0)</f>
        <v>0</v>
      </c>
      <c r="L18" s="32" t="n">
        <v>2025</v>
      </c>
      <c r="M18" s="1" t="s">
        <v>600</v>
      </c>
    </row>
    <row r="19" customFormat="false" ht="15" hidden="false" customHeight="true" outlineLevel="0" collapsed="false">
      <c r="A19" s="1" t="s">
        <v>621</v>
      </c>
      <c r="B19" s="1" t="s">
        <v>622</v>
      </c>
      <c r="C19" s="1" t="s">
        <v>623</v>
      </c>
      <c r="D19" s="1" t="s">
        <v>388</v>
      </c>
      <c r="E19" s="1" t="s">
        <v>149</v>
      </c>
      <c r="F19" s="1" t="s">
        <v>624</v>
      </c>
      <c r="G19" s="31" t="n">
        <v>0</v>
      </c>
      <c r="H19" s="1" t="n">
        <v>0.0002</v>
      </c>
      <c r="I19" s="28" t="n">
        <v>0.00015</v>
      </c>
      <c r="K19" s="1" t="n">
        <f aca="false">IFERROR(E19*((G19*J19)+H19),0)</f>
        <v>0</v>
      </c>
      <c r="L19" s="32" t="n">
        <v>2025</v>
      </c>
      <c r="M19" s="1" t="s">
        <v>594</v>
      </c>
    </row>
    <row r="20" customFormat="false" ht="18" hidden="false" customHeight="true" outlineLevel="0" collapsed="false">
      <c r="A20" s="1" t="s">
        <v>621</v>
      </c>
      <c r="B20" s="1" t="s">
        <v>625</v>
      </c>
      <c r="C20" s="1" t="s">
        <v>485</v>
      </c>
      <c r="D20" s="1" t="s">
        <v>388</v>
      </c>
      <c r="E20" s="1" t="s">
        <v>149</v>
      </c>
      <c r="F20" s="1" t="s">
        <v>218</v>
      </c>
      <c r="G20" s="31" t="n">
        <v>0</v>
      </c>
      <c r="H20" s="1" t="n">
        <v>0.00022</v>
      </c>
      <c r="I20" s="28" t="n">
        <v>0.00016</v>
      </c>
      <c r="K20" s="1" t="n">
        <f aca="false">IFERROR(E20*((G20*J20)+H20),0)</f>
        <v>0</v>
      </c>
      <c r="L20" s="32" t="n">
        <v>2025</v>
      </c>
      <c r="M20" s="1" t="s">
        <v>594</v>
      </c>
    </row>
    <row r="21" customFormat="false" ht="15.75" hidden="false" customHeight="true" outlineLevel="0" collapsed="false">
      <c r="A21" s="1" t="s">
        <v>621</v>
      </c>
      <c r="B21" s="1" t="s">
        <v>626</v>
      </c>
      <c r="C21" s="1" t="s">
        <v>627</v>
      </c>
      <c r="D21" s="1" t="s">
        <v>388</v>
      </c>
      <c r="E21" s="1" t="s">
        <v>149</v>
      </c>
      <c r="F21" s="1" t="s">
        <v>218</v>
      </c>
      <c r="G21" s="31" t="n">
        <v>0</v>
      </c>
      <c r="H21" s="1" t="n">
        <v>0.00035</v>
      </c>
      <c r="I21" s="28" t="n">
        <v>0.00025</v>
      </c>
      <c r="K21" s="1" t="n">
        <f aca="false">IFERROR(E21*((G21*J21)+H21),0)</f>
        <v>0</v>
      </c>
      <c r="L21" s="1" t="n">
        <v>2025</v>
      </c>
      <c r="M21" s="1" t="s">
        <v>600</v>
      </c>
    </row>
    <row r="22" customFormat="false" ht="15.75" hidden="false" customHeight="true" outlineLevel="0" collapsed="false">
      <c r="A22" s="1" t="s">
        <v>621</v>
      </c>
      <c r="B22" s="1" t="s">
        <v>628</v>
      </c>
      <c r="C22" s="1" t="s">
        <v>629</v>
      </c>
      <c r="D22" s="1" t="s">
        <v>599</v>
      </c>
      <c r="E22" s="1" t="s">
        <v>149</v>
      </c>
      <c r="F22" s="1" t="s">
        <v>624</v>
      </c>
      <c r="G22" s="31" t="n">
        <v>0</v>
      </c>
      <c r="H22" s="1" t="n">
        <v>5E-005</v>
      </c>
      <c r="I22" s="28" t="n">
        <v>3E-005</v>
      </c>
      <c r="K22" s="1" t="n">
        <f aca="false">IFERROR(E22*((G22*J22)+H22),0)</f>
        <v>0</v>
      </c>
      <c r="L22" s="1" t="n">
        <v>2025</v>
      </c>
      <c r="M22" s="1" t="s">
        <v>594</v>
      </c>
    </row>
    <row r="23" customFormat="false" ht="15.75" hidden="false" customHeight="true" outlineLevel="0" collapsed="false">
      <c r="A23" s="1" t="s">
        <v>621</v>
      </c>
      <c r="B23" s="1" t="s">
        <v>630</v>
      </c>
      <c r="C23" s="1" t="s">
        <v>614</v>
      </c>
      <c r="D23" s="1" t="s">
        <v>599</v>
      </c>
      <c r="E23" s="1" t="s">
        <v>149</v>
      </c>
      <c r="F23" s="1" t="s">
        <v>218</v>
      </c>
      <c r="G23" s="31" t="n">
        <v>0</v>
      </c>
      <c r="H23" s="1" t="n">
        <v>0.009</v>
      </c>
      <c r="I23" s="28" t="n">
        <v>0.008</v>
      </c>
      <c r="K23" s="1" t="n">
        <f aca="false">IFERROR(E23*((G23*J23)+H23),0)</f>
        <v>0</v>
      </c>
      <c r="L23" s="1" t="n">
        <v>2025</v>
      </c>
      <c r="M23" s="1" t="s">
        <v>594</v>
      </c>
      <c r="N23" s="1" t="s">
        <v>631</v>
      </c>
    </row>
    <row r="24" customFormat="false" ht="15.75" hidden="false" customHeight="true" outlineLevel="0" collapsed="false">
      <c r="A24" s="1" t="s">
        <v>621</v>
      </c>
      <c r="B24" s="1" t="s">
        <v>632</v>
      </c>
      <c r="C24" s="1" t="s">
        <v>633</v>
      </c>
      <c r="D24" s="1" t="s">
        <v>599</v>
      </c>
      <c r="E24" s="1" t="s">
        <v>149</v>
      </c>
      <c r="F24" s="1" t="s">
        <v>218</v>
      </c>
      <c r="G24" s="31" t="n">
        <v>0</v>
      </c>
      <c r="H24" s="1" t="n">
        <v>0.001</v>
      </c>
      <c r="I24" s="28" t="n">
        <v>0.0008</v>
      </c>
      <c r="K24" s="1" t="n">
        <f aca="false">IFERROR(E24*((G24*J24)+H24),0)</f>
        <v>0</v>
      </c>
      <c r="L24" s="1" t="n">
        <v>2025</v>
      </c>
      <c r="M24" s="1" t="s">
        <v>594</v>
      </c>
      <c r="N24" s="1" t="s">
        <v>634</v>
      </c>
    </row>
    <row r="25" customFormat="false" ht="15.75" hidden="false" customHeight="true" outlineLevel="0" collapsed="false">
      <c r="A25" s="1" t="s">
        <v>635</v>
      </c>
      <c r="B25" s="1" t="s">
        <v>636</v>
      </c>
      <c r="C25" s="1" t="s">
        <v>637</v>
      </c>
      <c r="D25" s="1" t="s">
        <v>638</v>
      </c>
      <c r="E25" s="1" t="s">
        <v>149</v>
      </c>
      <c r="F25" s="1" t="s">
        <v>218</v>
      </c>
      <c r="G25" s="31" t="n">
        <v>0</v>
      </c>
      <c r="H25" s="1" t="n">
        <v>0.00025</v>
      </c>
      <c r="I25" s="28" t="n">
        <v>0.00018</v>
      </c>
      <c r="K25" s="1" t="n">
        <f aca="false">IFERROR(E25*((G25*J25)+H25),0)</f>
        <v>0</v>
      </c>
      <c r="L25" s="1" t="n">
        <v>2025</v>
      </c>
      <c r="M25" s="1" t="s">
        <v>594</v>
      </c>
    </row>
    <row r="26" customFormat="false" ht="15.75" hidden="false" customHeight="true" outlineLevel="0" collapsed="false">
      <c r="A26" s="1" t="s">
        <v>635</v>
      </c>
      <c r="B26" s="1" t="s">
        <v>639</v>
      </c>
      <c r="C26" s="1" t="s">
        <v>640</v>
      </c>
      <c r="D26" s="1" t="s">
        <v>388</v>
      </c>
      <c r="E26" s="1" t="s">
        <v>149</v>
      </c>
      <c r="F26" s="1" t="s">
        <v>218</v>
      </c>
      <c r="G26" s="31" t="n">
        <v>0</v>
      </c>
      <c r="H26" s="1" t="n">
        <v>0.0002</v>
      </c>
      <c r="I26" s="28" t="n">
        <v>0.00015</v>
      </c>
      <c r="K26" s="1" t="n">
        <f aca="false">IFERROR(E26*((G26*J26)+H26),0)</f>
        <v>0</v>
      </c>
      <c r="L26" s="1" t="n">
        <v>2025</v>
      </c>
      <c r="M26" s="1" t="s">
        <v>594</v>
      </c>
    </row>
    <row r="27" customFormat="false" ht="15.75" hidden="false" customHeight="true" outlineLevel="0" collapsed="false">
      <c r="A27" s="1" t="s">
        <v>635</v>
      </c>
      <c r="B27" s="1" t="s">
        <v>641</v>
      </c>
      <c r="C27" s="1" t="s">
        <v>614</v>
      </c>
      <c r="D27" s="1" t="s">
        <v>599</v>
      </c>
      <c r="E27" s="1" t="s">
        <v>149</v>
      </c>
      <c r="F27" s="1" t="s">
        <v>218</v>
      </c>
      <c r="G27" s="31" t="n">
        <v>0</v>
      </c>
      <c r="H27" s="1" t="n">
        <v>0.00028</v>
      </c>
      <c r="I27" s="28" t="n">
        <v>0.0002</v>
      </c>
      <c r="K27" s="1" t="n">
        <f aca="false">IFERROR(E27*((G27*J27)+H27),0)</f>
        <v>0</v>
      </c>
      <c r="L27" s="1" t="n">
        <v>2025</v>
      </c>
      <c r="M27" s="1" t="s">
        <v>594</v>
      </c>
    </row>
    <row r="28" customFormat="false" ht="15.75" hidden="false" customHeight="true" outlineLevel="0" collapsed="false">
      <c r="A28" s="1" t="s">
        <v>635</v>
      </c>
      <c r="B28" s="1" t="s">
        <v>642</v>
      </c>
      <c r="C28" s="1" t="s">
        <v>616</v>
      </c>
      <c r="D28" s="1" t="s">
        <v>599</v>
      </c>
      <c r="E28" s="1" t="s">
        <v>149</v>
      </c>
      <c r="F28" s="1" t="s">
        <v>218</v>
      </c>
      <c r="G28" s="31" t="n">
        <v>0</v>
      </c>
      <c r="H28" s="1" t="n">
        <v>0.0003</v>
      </c>
      <c r="I28" s="28" t="n">
        <v>0.00022</v>
      </c>
      <c r="K28" s="1" t="n">
        <f aca="false">IFERROR(E28*((G28*J28)+H28),0)</f>
        <v>0</v>
      </c>
      <c r="L28" s="1" t="n">
        <v>2025</v>
      </c>
      <c r="M28" s="1" t="s">
        <v>594</v>
      </c>
    </row>
    <row r="29" customFormat="false" ht="15.75" hidden="false" customHeight="true" outlineLevel="0" collapsed="false">
      <c r="A29" s="1" t="s">
        <v>635</v>
      </c>
      <c r="B29" s="1" t="s">
        <v>643</v>
      </c>
      <c r="C29" s="1" t="s">
        <v>629</v>
      </c>
      <c r="D29" s="1" t="s">
        <v>599</v>
      </c>
      <c r="E29" s="1" t="s">
        <v>149</v>
      </c>
      <c r="F29" s="1" t="s">
        <v>218</v>
      </c>
      <c r="G29" s="31" t="n">
        <v>0</v>
      </c>
      <c r="H29" s="1" t="n">
        <v>0.0001</v>
      </c>
      <c r="I29" s="28" t="n">
        <v>7E-005</v>
      </c>
      <c r="K29" s="1" t="n">
        <f aca="false">IFERROR(E29*((G29*J29)+H29),0)</f>
        <v>0</v>
      </c>
      <c r="L29" s="1" t="n">
        <v>2025</v>
      </c>
      <c r="M29" s="1" t="s">
        <v>594</v>
      </c>
    </row>
    <row r="30" customFormat="false" ht="15.75" hidden="false" customHeight="true" outlineLevel="0" collapsed="false">
      <c r="A30" s="1" t="s">
        <v>644</v>
      </c>
      <c r="B30" s="1" t="s">
        <v>645</v>
      </c>
      <c r="C30" s="1" t="s">
        <v>629</v>
      </c>
      <c r="D30" s="1" t="s">
        <v>388</v>
      </c>
      <c r="E30" s="1" t="s">
        <v>149</v>
      </c>
      <c r="F30" s="1" t="s">
        <v>218</v>
      </c>
      <c r="G30" s="31" t="n">
        <v>0</v>
      </c>
      <c r="H30" s="1" t="n">
        <v>5E-005</v>
      </c>
      <c r="I30" s="28" t="n">
        <v>3E-005</v>
      </c>
      <c r="K30" s="1" t="n">
        <f aca="false">IFERROR(E30*((G30*J30)+H30),0)</f>
        <v>0</v>
      </c>
      <c r="L30" s="1" t="n">
        <v>2025</v>
      </c>
      <c r="M30" s="1" t="s">
        <v>594</v>
      </c>
    </row>
    <row r="31" customFormat="false" ht="15.75" hidden="false" customHeight="true" outlineLevel="0" collapsed="false">
      <c r="A31" s="1" t="s">
        <v>644</v>
      </c>
      <c r="B31" s="1" t="s">
        <v>646</v>
      </c>
      <c r="C31" s="1" t="s">
        <v>614</v>
      </c>
      <c r="D31" s="1" t="s">
        <v>388</v>
      </c>
      <c r="E31" s="1" t="s">
        <v>149</v>
      </c>
      <c r="F31" s="1" t="s">
        <v>218</v>
      </c>
      <c r="G31" s="31" t="n">
        <v>0</v>
      </c>
      <c r="H31" s="1" t="n">
        <v>6E-005</v>
      </c>
      <c r="I31" s="28" t="n">
        <v>4E-005</v>
      </c>
      <c r="K31" s="1" t="n">
        <f aca="false">IFERROR(E31*((G31*J31)+H31),0)</f>
        <v>0</v>
      </c>
      <c r="L31" s="1" t="n">
        <v>2025</v>
      </c>
      <c r="M31" s="1" t="s">
        <v>594</v>
      </c>
    </row>
    <row r="32" customFormat="false" ht="15.75" hidden="false" customHeight="true" outlineLevel="0" collapsed="false">
      <c r="A32" s="1" t="s">
        <v>644</v>
      </c>
      <c r="B32" s="1" t="s">
        <v>647</v>
      </c>
      <c r="C32" s="1" t="s">
        <v>648</v>
      </c>
      <c r="D32" s="1" t="s">
        <v>599</v>
      </c>
      <c r="E32" s="1" t="s">
        <v>149</v>
      </c>
      <c r="F32" s="1" t="s">
        <v>218</v>
      </c>
      <c r="G32" s="31" t="n">
        <v>0</v>
      </c>
      <c r="H32" s="1" t="n">
        <v>4E-005</v>
      </c>
      <c r="I32" s="28" t="n">
        <v>2E-005</v>
      </c>
      <c r="K32" s="1" t="n">
        <f aca="false">IFERROR(E32*((G32*J32)+H32),0)</f>
        <v>0</v>
      </c>
      <c r="L32" s="1" t="n">
        <v>2025</v>
      </c>
      <c r="M32" s="1" t="s">
        <v>594</v>
      </c>
    </row>
    <row r="33" customFormat="false" ht="15.75" hidden="false" customHeight="true" outlineLevel="0" collapsed="false">
      <c r="A33" s="1" t="s">
        <v>644</v>
      </c>
      <c r="B33" s="1" t="s">
        <v>649</v>
      </c>
      <c r="C33" s="1" t="s">
        <v>650</v>
      </c>
      <c r="D33" s="1" t="s">
        <v>599</v>
      </c>
      <c r="E33" s="1" t="s">
        <v>149</v>
      </c>
      <c r="F33" s="1" t="s">
        <v>218</v>
      </c>
      <c r="G33" s="31" t="n">
        <v>0</v>
      </c>
      <c r="H33" s="1" t="n">
        <v>0.00012</v>
      </c>
      <c r="I33" s="28" t="n">
        <v>8E-005</v>
      </c>
      <c r="K33" s="1" t="n">
        <f aca="false">IFERROR(E33*((G33*J33)+H33),0)</f>
        <v>0</v>
      </c>
      <c r="L33" s="1" t="n">
        <v>2025</v>
      </c>
      <c r="M33" s="1" t="s">
        <v>594</v>
      </c>
    </row>
    <row r="34" customFormat="false" ht="15.75" hidden="false" customHeight="true" outlineLevel="0" collapsed="false">
      <c r="I34" s="28"/>
    </row>
    <row r="35" customFormat="false" ht="15.75" hidden="false" customHeight="true" outlineLevel="0" collapsed="false">
      <c r="I35" s="28"/>
    </row>
    <row r="36" customFormat="false" ht="15.75" hidden="false" customHeight="true" outlineLevel="0" collapsed="false">
      <c r="I36" s="28"/>
    </row>
    <row r="37" customFormat="false" ht="15.75" hidden="false" customHeight="true" outlineLevel="0" collapsed="false">
      <c r="I37" s="28"/>
    </row>
    <row r="38" customFormat="false" ht="15.75" hidden="false" customHeight="true" outlineLevel="0" collapsed="false">
      <c r="I38" s="28"/>
    </row>
    <row r="39" customFormat="false" ht="15.75" hidden="false" customHeight="true" outlineLevel="0" collapsed="false">
      <c r="I39" s="28"/>
    </row>
    <row r="40" customFormat="false" ht="15.75" hidden="false" customHeight="true" outlineLevel="0" collapsed="false">
      <c r="I40" s="28"/>
    </row>
    <row r="41" customFormat="false" ht="15.75" hidden="false" customHeight="true" outlineLevel="0" collapsed="false">
      <c r="I41" s="28"/>
    </row>
    <row r="42" customFormat="false" ht="15.75" hidden="false" customHeight="true" outlineLevel="0" collapsed="false">
      <c r="I42" s="28"/>
    </row>
    <row r="43" customFormat="false" ht="15.75" hidden="false" customHeight="true" outlineLevel="0" collapsed="false">
      <c r="I43" s="28"/>
    </row>
    <row r="44" customFormat="false" ht="15.75" hidden="false" customHeight="true" outlineLevel="0" collapsed="false">
      <c r="I44" s="28"/>
    </row>
    <row r="45" customFormat="false" ht="15.75" hidden="false" customHeight="true" outlineLevel="0" collapsed="false">
      <c r="I45" s="28"/>
    </row>
    <row r="46" customFormat="false" ht="15.75" hidden="false" customHeight="true" outlineLevel="0" collapsed="false">
      <c r="I46" s="28"/>
    </row>
    <row r="47" customFormat="false" ht="15.75" hidden="false" customHeight="true" outlineLevel="0" collapsed="false">
      <c r="I47" s="28"/>
    </row>
    <row r="48" customFormat="false" ht="15.75" hidden="false" customHeight="true" outlineLevel="0" collapsed="false">
      <c r="I48" s="28"/>
    </row>
    <row r="49" customFormat="false" ht="15.75" hidden="false" customHeight="true" outlineLevel="0" collapsed="false">
      <c r="I49" s="28"/>
    </row>
    <row r="50" customFormat="false" ht="15.75" hidden="false" customHeight="true" outlineLevel="0" collapsed="false">
      <c r="I50" s="28"/>
    </row>
    <row r="51" customFormat="false" ht="15.75" hidden="false" customHeight="true" outlineLevel="0" collapsed="false">
      <c r="I51" s="28"/>
    </row>
    <row r="52" customFormat="false" ht="15.75" hidden="false" customHeight="true" outlineLevel="0" collapsed="false">
      <c r="I52" s="28"/>
    </row>
    <row r="53" customFormat="false" ht="15.75" hidden="false" customHeight="true" outlineLevel="0" collapsed="false">
      <c r="I53" s="28"/>
    </row>
    <row r="54" customFormat="false" ht="15.75" hidden="false" customHeight="true" outlineLevel="0" collapsed="false">
      <c r="I54" s="28"/>
    </row>
    <row r="55" customFormat="false" ht="15.75" hidden="false" customHeight="true" outlineLevel="0" collapsed="false">
      <c r="I55" s="28"/>
    </row>
    <row r="56" customFormat="false" ht="15.75" hidden="false" customHeight="true" outlineLevel="0" collapsed="false">
      <c r="I56" s="28"/>
    </row>
    <row r="57" customFormat="false" ht="15.75" hidden="false" customHeight="true" outlineLevel="0" collapsed="false">
      <c r="I57" s="28"/>
    </row>
    <row r="58" customFormat="false" ht="15.75" hidden="false" customHeight="true" outlineLevel="0" collapsed="false">
      <c r="I58" s="28"/>
    </row>
    <row r="59" customFormat="false" ht="15.75" hidden="false" customHeight="true" outlineLevel="0" collapsed="false">
      <c r="I59" s="28"/>
    </row>
    <row r="60" customFormat="false" ht="15.75" hidden="false" customHeight="true" outlineLevel="0" collapsed="false">
      <c r="I60" s="28"/>
    </row>
    <row r="61" customFormat="false" ht="15.75" hidden="false" customHeight="true" outlineLevel="0" collapsed="false">
      <c r="I61" s="28"/>
    </row>
    <row r="62" customFormat="false" ht="15.75" hidden="false" customHeight="true" outlineLevel="0" collapsed="false">
      <c r="I62" s="28"/>
    </row>
    <row r="63" customFormat="false" ht="15.75" hidden="false" customHeight="true" outlineLevel="0" collapsed="false">
      <c r="I63" s="28"/>
    </row>
    <row r="64" customFormat="false" ht="15.75" hidden="false" customHeight="true" outlineLevel="0" collapsed="false">
      <c r="I64" s="28"/>
    </row>
    <row r="65" customFormat="false" ht="15.75" hidden="false" customHeight="true" outlineLevel="0" collapsed="false">
      <c r="I65" s="28"/>
    </row>
    <row r="66" customFormat="false" ht="15.75" hidden="false" customHeight="true" outlineLevel="0" collapsed="false">
      <c r="I66" s="28"/>
    </row>
    <row r="67" customFormat="false" ht="15.75" hidden="false" customHeight="true" outlineLevel="0" collapsed="false">
      <c r="I67" s="28"/>
    </row>
    <row r="68" customFormat="false" ht="15.75" hidden="false" customHeight="true" outlineLevel="0" collapsed="false">
      <c r="I68" s="28"/>
    </row>
    <row r="69" customFormat="false" ht="15.75" hidden="false" customHeight="true" outlineLevel="0" collapsed="false">
      <c r="I69" s="28"/>
    </row>
    <row r="70" customFormat="false" ht="15.75" hidden="false" customHeight="true" outlineLevel="0" collapsed="false">
      <c r="I70" s="28"/>
    </row>
    <row r="71" customFormat="false" ht="15.75" hidden="false" customHeight="true" outlineLevel="0" collapsed="false">
      <c r="I71" s="28"/>
    </row>
    <row r="72" customFormat="false" ht="15.75" hidden="false" customHeight="true" outlineLevel="0" collapsed="false">
      <c r="I72" s="28"/>
    </row>
    <row r="73" customFormat="false" ht="15.75" hidden="false" customHeight="true" outlineLevel="0" collapsed="false">
      <c r="I73" s="28"/>
    </row>
    <row r="74" customFormat="false" ht="15.75" hidden="false" customHeight="true" outlineLevel="0" collapsed="false">
      <c r="I74" s="28"/>
    </row>
    <row r="75" customFormat="false" ht="15.75" hidden="false" customHeight="true" outlineLevel="0" collapsed="false">
      <c r="I75" s="28"/>
    </row>
    <row r="76" customFormat="false" ht="15.75" hidden="false" customHeight="true" outlineLevel="0" collapsed="false">
      <c r="I76" s="28"/>
    </row>
    <row r="77" customFormat="false" ht="15.75" hidden="false" customHeight="true" outlineLevel="0" collapsed="false">
      <c r="I77" s="28"/>
    </row>
    <row r="78" customFormat="false" ht="15.75" hidden="false" customHeight="true" outlineLevel="0" collapsed="false">
      <c r="I78" s="28"/>
    </row>
    <row r="79" customFormat="false" ht="15.75" hidden="false" customHeight="true" outlineLevel="0" collapsed="false">
      <c r="I79" s="28"/>
    </row>
    <row r="80" customFormat="false" ht="15.75" hidden="false" customHeight="true" outlineLevel="0" collapsed="false">
      <c r="I80" s="28"/>
    </row>
    <row r="81" customFormat="false" ht="15.75" hidden="false" customHeight="true" outlineLevel="0" collapsed="false">
      <c r="I81" s="28"/>
    </row>
    <row r="82" customFormat="false" ht="15.75" hidden="false" customHeight="true" outlineLevel="0" collapsed="false">
      <c r="I82" s="28"/>
    </row>
    <row r="83" customFormat="false" ht="15.75" hidden="false" customHeight="true" outlineLevel="0" collapsed="false">
      <c r="I83" s="28"/>
    </row>
    <row r="84" customFormat="false" ht="15.75" hidden="false" customHeight="true" outlineLevel="0" collapsed="false">
      <c r="I84" s="28"/>
    </row>
    <row r="85" customFormat="false" ht="15.75" hidden="false" customHeight="true" outlineLevel="0" collapsed="false">
      <c r="I85" s="28"/>
    </row>
    <row r="86" customFormat="false" ht="15.75" hidden="false" customHeight="true" outlineLevel="0" collapsed="false">
      <c r="I86" s="28"/>
    </row>
    <row r="87" customFormat="false" ht="15.75" hidden="false" customHeight="true" outlineLevel="0" collapsed="false">
      <c r="I87" s="28"/>
    </row>
    <row r="88" customFormat="false" ht="15.75" hidden="false" customHeight="true" outlineLevel="0" collapsed="false">
      <c r="I88" s="28"/>
    </row>
    <row r="89" customFormat="false" ht="15.75" hidden="false" customHeight="true" outlineLevel="0" collapsed="false">
      <c r="I89" s="28"/>
    </row>
    <row r="90" customFormat="false" ht="15.75" hidden="false" customHeight="true" outlineLevel="0" collapsed="false">
      <c r="I90" s="28"/>
    </row>
    <row r="91" customFormat="false" ht="15.75" hidden="false" customHeight="true" outlineLevel="0" collapsed="false">
      <c r="I91" s="28"/>
    </row>
    <row r="92" customFormat="false" ht="15.75" hidden="false" customHeight="true" outlineLevel="0" collapsed="false">
      <c r="I92" s="28"/>
    </row>
    <row r="93" customFormat="false" ht="15.75" hidden="false" customHeight="true" outlineLevel="0" collapsed="false">
      <c r="I93" s="28"/>
    </row>
    <row r="94" customFormat="false" ht="15.75" hidden="false" customHeight="true" outlineLevel="0" collapsed="false">
      <c r="I94" s="28"/>
    </row>
    <row r="95" customFormat="false" ht="15.75" hidden="false" customHeight="true" outlineLevel="0" collapsed="false">
      <c r="I95" s="28"/>
    </row>
    <row r="96" customFormat="false" ht="15.75" hidden="false" customHeight="true" outlineLevel="0" collapsed="false">
      <c r="I96" s="28"/>
    </row>
    <row r="97" customFormat="false" ht="15.75" hidden="false" customHeight="true" outlineLevel="0" collapsed="false">
      <c r="I97" s="28"/>
    </row>
    <row r="98" customFormat="false" ht="15.75" hidden="false" customHeight="true" outlineLevel="0" collapsed="false">
      <c r="I98" s="28"/>
    </row>
    <row r="99" customFormat="false" ht="15.75" hidden="false" customHeight="true" outlineLevel="0" collapsed="false">
      <c r="I99" s="28"/>
    </row>
    <row r="100" customFormat="false" ht="15.75" hidden="false" customHeight="true" outlineLevel="0" collapsed="false">
      <c r="I100" s="28"/>
    </row>
    <row r="101" customFormat="false" ht="15.75" hidden="false" customHeight="true" outlineLevel="0" collapsed="false">
      <c r="I101" s="28"/>
    </row>
    <row r="102" customFormat="false" ht="15.75" hidden="false" customHeight="true" outlineLevel="0" collapsed="false">
      <c r="I102" s="28"/>
    </row>
    <row r="103" customFormat="false" ht="15.75" hidden="false" customHeight="true" outlineLevel="0" collapsed="false">
      <c r="I103" s="28"/>
    </row>
    <row r="104" customFormat="false" ht="15.75" hidden="false" customHeight="true" outlineLevel="0" collapsed="false">
      <c r="I104" s="28"/>
    </row>
    <row r="105" customFormat="false" ht="15.75" hidden="false" customHeight="true" outlineLevel="0" collapsed="false">
      <c r="I105" s="28"/>
    </row>
    <row r="106" customFormat="false" ht="15.75" hidden="false" customHeight="true" outlineLevel="0" collapsed="false">
      <c r="I106" s="28"/>
    </row>
    <row r="107" customFormat="false" ht="15.75" hidden="false" customHeight="true" outlineLevel="0" collapsed="false">
      <c r="I107" s="28"/>
    </row>
    <row r="108" customFormat="false" ht="15.75" hidden="false" customHeight="true" outlineLevel="0" collapsed="false">
      <c r="I108" s="28"/>
    </row>
    <row r="109" customFormat="false" ht="15.75" hidden="false" customHeight="true" outlineLevel="0" collapsed="false">
      <c r="I109" s="28"/>
    </row>
    <row r="110" customFormat="false" ht="15.75" hidden="false" customHeight="true" outlineLevel="0" collapsed="false">
      <c r="I110" s="28"/>
    </row>
    <row r="111" customFormat="false" ht="15.75" hidden="false" customHeight="true" outlineLevel="0" collapsed="false">
      <c r="I111" s="28"/>
    </row>
    <row r="112" customFormat="false" ht="15.75" hidden="false" customHeight="true" outlineLevel="0" collapsed="false">
      <c r="I112" s="28"/>
    </row>
    <row r="113" customFormat="false" ht="15.75" hidden="false" customHeight="true" outlineLevel="0" collapsed="false">
      <c r="I113" s="28"/>
    </row>
    <row r="114" customFormat="false" ht="15.75" hidden="false" customHeight="true" outlineLevel="0" collapsed="false">
      <c r="I114" s="28"/>
    </row>
    <row r="115" customFormat="false" ht="15.75" hidden="false" customHeight="true" outlineLevel="0" collapsed="false">
      <c r="I115" s="28"/>
    </row>
    <row r="116" customFormat="false" ht="15.75" hidden="false" customHeight="true" outlineLevel="0" collapsed="false">
      <c r="I116" s="28"/>
    </row>
    <row r="117" customFormat="false" ht="15.75" hidden="false" customHeight="true" outlineLevel="0" collapsed="false">
      <c r="I117" s="28"/>
    </row>
    <row r="118" customFormat="false" ht="15.75" hidden="false" customHeight="true" outlineLevel="0" collapsed="false">
      <c r="I118" s="28"/>
    </row>
    <row r="119" customFormat="false" ht="15.75" hidden="false" customHeight="true" outlineLevel="0" collapsed="false">
      <c r="I119" s="28"/>
    </row>
    <row r="120" customFormat="false" ht="15.75" hidden="false" customHeight="true" outlineLevel="0" collapsed="false">
      <c r="I120" s="28"/>
    </row>
    <row r="121" customFormat="false" ht="15.75" hidden="false" customHeight="true" outlineLevel="0" collapsed="false">
      <c r="I121" s="28"/>
    </row>
    <row r="122" customFormat="false" ht="15.75" hidden="false" customHeight="true" outlineLevel="0" collapsed="false">
      <c r="I122" s="28"/>
    </row>
    <row r="123" customFormat="false" ht="15.75" hidden="false" customHeight="true" outlineLevel="0" collapsed="false">
      <c r="I123" s="28"/>
    </row>
    <row r="124" customFormat="false" ht="15.75" hidden="false" customHeight="true" outlineLevel="0" collapsed="false">
      <c r="I124" s="28"/>
    </row>
    <row r="125" customFormat="false" ht="15.75" hidden="false" customHeight="true" outlineLevel="0" collapsed="false">
      <c r="I125" s="28"/>
    </row>
    <row r="126" customFormat="false" ht="15.75" hidden="false" customHeight="true" outlineLevel="0" collapsed="false">
      <c r="I126" s="28"/>
    </row>
    <row r="127" customFormat="false" ht="15.75" hidden="false" customHeight="true" outlineLevel="0" collapsed="false">
      <c r="I127" s="28"/>
    </row>
    <row r="128" customFormat="false" ht="15.75" hidden="false" customHeight="true" outlineLevel="0" collapsed="false">
      <c r="I128" s="28"/>
    </row>
    <row r="129" customFormat="false" ht="15.75" hidden="false" customHeight="true" outlineLevel="0" collapsed="false">
      <c r="I129" s="28"/>
    </row>
    <row r="130" customFormat="false" ht="15.75" hidden="false" customHeight="true" outlineLevel="0" collapsed="false">
      <c r="I130" s="28"/>
    </row>
    <row r="131" customFormat="false" ht="15.75" hidden="false" customHeight="true" outlineLevel="0" collapsed="false">
      <c r="I131" s="28"/>
    </row>
    <row r="132" customFormat="false" ht="15.75" hidden="false" customHeight="true" outlineLevel="0" collapsed="false">
      <c r="I132" s="28"/>
    </row>
    <row r="133" customFormat="false" ht="15.75" hidden="false" customHeight="true" outlineLevel="0" collapsed="false">
      <c r="I133" s="28"/>
    </row>
    <row r="134" customFormat="false" ht="15.75" hidden="false" customHeight="true" outlineLevel="0" collapsed="false">
      <c r="I134" s="28"/>
    </row>
    <row r="135" customFormat="false" ht="15.75" hidden="false" customHeight="true" outlineLevel="0" collapsed="false">
      <c r="I135" s="28"/>
    </row>
    <row r="136" customFormat="false" ht="15.75" hidden="false" customHeight="true" outlineLevel="0" collapsed="false">
      <c r="I136" s="28"/>
    </row>
    <row r="137" customFormat="false" ht="15.75" hidden="false" customHeight="true" outlineLevel="0" collapsed="false">
      <c r="I137" s="28"/>
    </row>
    <row r="138" customFormat="false" ht="15.75" hidden="false" customHeight="true" outlineLevel="0" collapsed="false">
      <c r="I138" s="28"/>
    </row>
    <row r="139" customFormat="false" ht="15.75" hidden="false" customHeight="true" outlineLevel="0" collapsed="false">
      <c r="I139" s="28"/>
    </row>
    <row r="140" customFormat="false" ht="15.75" hidden="false" customHeight="true" outlineLevel="0" collapsed="false">
      <c r="I140" s="28"/>
    </row>
    <row r="141" customFormat="false" ht="15.75" hidden="false" customHeight="true" outlineLevel="0" collapsed="false">
      <c r="I141" s="28"/>
    </row>
    <row r="142" customFormat="false" ht="15.75" hidden="false" customHeight="true" outlineLevel="0" collapsed="false">
      <c r="I142" s="28"/>
    </row>
    <row r="143" customFormat="false" ht="15.75" hidden="false" customHeight="true" outlineLevel="0" collapsed="false">
      <c r="I143" s="28"/>
    </row>
    <row r="144" customFormat="false" ht="15.75" hidden="false" customHeight="true" outlineLevel="0" collapsed="false">
      <c r="I144" s="28"/>
    </row>
    <row r="145" customFormat="false" ht="15.75" hidden="false" customHeight="true" outlineLevel="0" collapsed="false">
      <c r="I145" s="28"/>
    </row>
    <row r="146" customFormat="false" ht="15.75" hidden="false" customHeight="true" outlineLevel="0" collapsed="false">
      <c r="I146" s="28"/>
    </row>
    <row r="147" customFormat="false" ht="15.75" hidden="false" customHeight="true" outlineLevel="0" collapsed="false">
      <c r="I147" s="28"/>
    </row>
    <row r="148" customFormat="false" ht="15.75" hidden="false" customHeight="true" outlineLevel="0" collapsed="false">
      <c r="I148" s="28"/>
    </row>
    <row r="149" customFormat="false" ht="15.75" hidden="false" customHeight="true" outlineLevel="0" collapsed="false">
      <c r="I149" s="28"/>
    </row>
    <row r="150" customFormat="false" ht="15.75" hidden="false" customHeight="true" outlineLevel="0" collapsed="false">
      <c r="I150" s="28"/>
    </row>
    <row r="151" customFormat="false" ht="15.75" hidden="false" customHeight="true" outlineLevel="0" collapsed="false">
      <c r="I151" s="28"/>
    </row>
    <row r="152" customFormat="false" ht="15.75" hidden="false" customHeight="true" outlineLevel="0" collapsed="false">
      <c r="I152" s="28"/>
    </row>
    <row r="153" customFormat="false" ht="15.75" hidden="false" customHeight="true" outlineLevel="0" collapsed="false">
      <c r="I153" s="28"/>
    </row>
    <row r="154" customFormat="false" ht="15.75" hidden="false" customHeight="true" outlineLevel="0" collapsed="false">
      <c r="I154" s="28"/>
    </row>
    <row r="155" customFormat="false" ht="15.75" hidden="false" customHeight="true" outlineLevel="0" collapsed="false">
      <c r="I155" s="28"/>
    </row>
    <row r="156" customFormat="false" ht="15.75" hidden="false" customHeight="true" outlineLevel="0" collapsed="false">
      <c r="I156" s="28"/>
    </row>
    <row r="157" customFormat="false" ht="15.75" hidden="false" customHeight="true" outlineLevel="0" collapsed="false">
      <c r="I157" s="28"/>
    </row>
    <row r="158" customFormat="false" ht="15.75" hidden="false" customHeight="true" outlineLevel="0" collapsed="false">
      <c r="I158" s="28"/>
    </row>
    <row r="159" customFormat="false" ht="15.75" hidden="false" customHeight="true" outlineLevel="0" collapsed="false">
      <c r="I159" s="28"/>
    </row>
    <row r="160" customFormat="false" ht="15.75" hidden="false" customHeight="true" outlineLevel="0" collapsed="false">
      <c r="I160" s="28"/>
    </row>
    <row r="161" customFormat="false" ht="15.75" hidden="false" customHeight="true" outlineLevel="0" collapsed="false">
      <c r="I161" s="28"/>
    </row>
    <row r="162" customFormat="false" ht="15.75" hidden="false" customHeight="true" outlineLevel="0" collapsed="false">
      <c r="I162" s="28"/>
    </row>
    <row r="163" customFormat="false" ht="15.75" hidden="false" customHeight="true" outlineLevel="0" collapsed="false">
      <c r="I163" s="28"/>
    </row>
    <row r="164" customFormat="false" ht="15.75" hidden="false" customHeight="true" outlineLevel="0" collapsed="false">
      <c r="I164" s="28"/>
    </row>
    <row r="165" customFormat="false" ht="15.75" hidden="false" customHeight="true" outlineLevel="0" collapsed="false">
      <c r="I165" s="28"/>
    </row>
    <row r="166" customFormat="false" ht="15.75" hidden="false" customHeight="true" outlineLevel="0" collapsed="false">
      <c r="I166" s="28"/>
    </row>
    <row r="167" customFormat="false" ht="15.75" hidden="false" customHeight="true" outlineLevel="0" collapsed="false">
      <c r="I167" s="28"/>
    </row>
    <row r="168" customFormat="false" ht="15.75" hidden="false" customHeight="true" outlineLevel="0" collapsed="false">
      <c r="I168" s="28"/>
    </row>
    <row r="169" customFormat="false" ht="15.75" hidden="false" customHeight="true" outlineLevel="0" collapsed="false">
      <c r="I169" s="28"/>
    </row>
    <row r="170" customFormat="false" ht="15.75" hidden="false" customHeight="true" outlineLevel="0" collapsed="false">
      <c r="I170" s="28"/>
    </row>
    <row r="171" customFormat="false" ht="15.75" hidden="false" customHeight="true" outlineLevel="0" collapsed="false">
      <c r="I171" s="28"/>
    </row>
    <row r="172" customFormat="false" ht="15.75" hidden="false" customHeight="true" outlineLevel="0" collapsed="false">
      <c r="I172" s="28"/>
    </row>
    <row r="173" customFormat="false" ht="15.75" hidden="false" customHeight="true" outlineLevel="0" collapsed="false">
      <c r="I173" s="28"/>
    </row>
    <row r="174" customFormat="false" ht="15.75" hidden="false" customHeight="true" outlineLevel="0" collapsed="false">
      <c r="I174" s="28"/>
    </row>
    <row r="175" customFormat="false" ht="15.75" hidden="false" customHeight="true" outlineLevel="0" collapsed="false">
      <c r="I175" s="28"/>
    </row>
    <row r="176" customFormat="false" ht="15.75" hidden="false" customHeight="true" outlineLevel="0" collapsed="false">
      <c r="I176" s="28"/>
    </row>
    <row r="177" customFormat="false" ht="15.75" hidden="false" customHeight="true" outlineLevel="0" collapsed="false">
      <c r="I177" s="28"/>
    </row>
    <row r="178" customFormat="false" ht="15.75" hidden="false" customHeight="true" outlineLevel="0" collapsed="false">
      <c r="I178" s="28"/>
    </row>
    <row r="179" customFormat="false" ht="15.75" hidden="false" customHeight="true" outlineLevel="0" collapsed="false">
      <c r="I179" s="28"/>
    </row>
    <row r="180" customFormat="false" ht="15.75" hidden="false" customHeight="true" outlineLevel="0" collapsed="false">
      <c r="I180" s="28"/>
    </row>
    <row r="181" customFormat="false" ht="15.75" hidden="false" customHeight="true" outlineLevel="0" collapsed="false">
      <c r="I181" s="28"/>
    </row>
    <row r="182" customFormat="false" ht="15.75" hidden="false" customHeight="true" outlineLevel="0" collapsed="false">
      <c r="I182" s="28"/>
    </row>
    <row r="183" customFormat="false" ht="15.75" hidden="false" customHeight="true" outlineLevel="0" collapsed="false">
      <c r="I183" s="28"/>
    </row>
    <row r="184" customFormat="false" ht="15.75" hidden="false" customHeight="true" outlineLevel="0" collapsed="false">
      <c r="I184" s="28"/>
    </row>
    <row r="185" customFormat="false" ht="15.75" hidden="false" customHeight="true" outlineLevel="0" collapsed="false">
      <c r="I185" s="28"/>
    </row>
    <row r="186" customFormat="false" ht="15.75" hidden="false" customHeight="true" outlineLevel="0" collapsed="false">
      <c r="I186" s="28"/>
    </row>
    <row r="187" customFormat="false" ht="15.75" hidden="false" customHeight="true" outlineLevel="0" collapsed="false">
      <c r="I187" s="28"/>
    </row>
    <row r="188" customFormat="false" ht="15.75" hidden="false" customHeight="true" outlineLevel="0" collapsed="false">
      <c r="I188" s="28"/>
    </row>
    <row r="189" customFormat="false" ht="15.75" hidden="false" customHeight="true" outlineLevel="0" collapsed="false">
      <c r="I189" s="28"/>
    </row>
    <row r="190" customFormat="false" ht="15.75" hidden="false" customHeight="true" outlineLevel="0" collapsed="false">
      <c r="I190" s="28"/>
    </row>
    <row r="191" customFormat="false" ht="15.75" hidden="false" customHeight="true" outlineLevel="0" collapsed="false">
      <c r="I191" s="28"/>
    </row>
    <row r="192" customFormat="false" ht="15.75" hidden="false" customHeight="true" outlineLevel="0" collapsed="false">
      <c r="I192" s="28"/>
    </row>
    <row r="193" customFormat="false" ht="15.75" hidden="false" customHeight="true" outlineLevel="0" collapsed="false">
      <c r="I193" s="28"/>
    </row>
    <row r="194" customFormat="false" ht="15.75" hidden="false" customHeight="true" outlineLevel="0" collapsed="false">
      <c r="I194" s="28"/>
    </row>
    <row r="195" customFormat="false" ht="15.75" hidden="false" customHeight="true" outlineLevel="0" collapsed="false">
      <c r="I195" s="28"/>
    </row>
    <row r="196" customFormat="false" ht="15.75" hidden="false" customHeight="true" outlineLevel="0" collapsed="false">
      <c r="I196" s="28"/>
    </row>
    <row r="197" customFormat="false" ht="15.75" hidden="false" customHeight="true" outlineLevel="0" collapsed="false">
      <c r="I197" s="28"/>
    </row>
    <row r="198" customFormat="false" ht="15.75" hidden="false" customHeight="true" outlineLevel="0" collapsed="false">
      <c r="I198" s="28"/>
    </row>
    <row r="199" customFormat="false" ht="15.75" hidden="false" customHeight="true" outlineLevel="0" collapsed="false">
      <c r="I199" s="28"/>
    </row>
    <row r="200" customFormat="false" ht="15.75" hidden="false" customHeight="true" outlineLevel="0" collapsed="false">
      <c r="I200" s="28"/>
    </row>
    <row r="201" customFormat="false" ht="15.75" hidden="false" customHeight="true" outlineLevel="0" collapsed="false">
      <c r="I201" s="28"/>
    </row>
    <row r="202" customFormat="false" ht="15.75" hidden="false" customHeight="true" outlineLevel="0" collapsed="false">
      <c r="I202" s="28"/>
    </row>
    <row r="203" customFormat="false" ht="15.75" hidden="false" customHeight="true" outlineLevel="0" collapsed="false">
      <c r="I203" s="28"/>
    </row>
    <row r="204" customFormat="false" ht="15.75" hidden="false" customHeight="true" outlineLevel="0" collapsed="false">
      <c r="I204" s="28"/>
    </row>
    <row r="205" customFormat="false" ht="15.75" hidden="false" customHeight="true" outlineLevel="0" collapsed="false">
      <c r="I205" s="28"/>
    </row>
    <row r="206" customFormat="false" ht="15.75" hidden="false" customHeight="true" outlineLevel="0" collapsed="false">
      <c r="I206" s="28"/>
    </row>
    <row r="207" customFormat="false" ht="15.75" hidden="false" customHeight="true" outlineLevel="0" collapsed="false">
      <c r="I207" s="28"/>
    </row>
    <row r="208" customFormat="false" ht="15.75" hidden="false" customHeight="true" outlineLevel="0" collapsed="false">
      <c r="I208" s="28"/>
    </row>
    <row r="209" customFormat="false" ht="15.75" hidden="false" customHeight="true" outlineLevel="0" collapsed="false">
      <c r="I209" s="28"/>
    </row>
    <row r="210" customFormat="false" ht="15.75" hidden="false" customHeight="true" outlineLevel="0" collapsed="false">
      <c r="I210" s="28"/>
    </row>
    <row r="211" customFormat="false" ht="15.75" hidden="false" customHeight="true" outlineLevel="0" collapsed="false">
      <c r="I211" s="28"/>
    </row>
    <row r="212" customFormat="false" ht="15.75" hidden="false" customHeight="true" outlineLevel="0" collapsed="false">
      <c r="I212" s="28"/>
    </row>
    <row r="213" customFormat="false" ht="15.75" hidden="false" customHeight="true" outlineLevel="0" collapsed="false">
      <c r="I213" s="28"/>
    </row>
    <row r="214" customFormat="false" ht="15.75" hidden="false" customHeight="true" outlineLevel="0" collapsed="false">
      <c r="I214" s="28"/>
    </row>
    <row r="215" customFormat="false" ht="15.75" hidden="false" customHeight="true" outlineLevel="0" collapsed="false">
      <c r="I215" s="28"/>
    </row>
    <row r="216" customFormat="false" ht="15.75" hidden="false" customHeight="true" outlineLevel="0" collapsed="false">
      <c r="I216" s="28"/>
    </row>
    <row r="217" customFormat="false" ht="15.75" hidden="false" customHeight="true" outlineLevel="0" collapsed="false">
      <c r="I217" s="28"/>
    </row>
    <row r="218" customFormat="false" ht="15.75" hidden="false" customHeight="true" outlineLevel="0" collapsed="false">
      <c r="I218" s="28"/>
    </row>
    <row r="219" customFormat="false" ht="15.75" hidden="false" customHeight="true" outlineLevel="0" collapsed="false">
      <c r="I219" s="28"/>
    </row>
    <row r="220" customFormat="false" ht="15.75" hidden="false" customHeight="true" outlineLevel="0" collapsed="false">
      <c r="I220" s="28"/>
    </row>
    <row r="221" customFormat="false" ht="15.75" hidden="false" customHeight="true" outlineLevel="0" collapsed="false">
      <c r="I221" s="28"/>
    </row>
    <row r="222" customFormat="false" ht="15.75" hidden="false" customHeight="true" outlineLevel="0" collapsed="false">
      <c r="I222" s="28"/>
    </row>
    <row r="223" customFormat="false" ht="15.75" hidden="false" customHeight="true" outlineLevel="0" collapsed="false">
      <c r="I223" s="28"/>
    </row>
    <row r="224" customFormat="false" ht="15.75" hidden="false" customHeight="true" outlineLevel="0" collapsed="false">
      <c r="I224" s="28"/>
    </row>
    <row r="225" customFormat="false" ht="15.75" hidden="false" customHeight="true" outlineLevel="0" collapsed="false">
      <c r="I225" s="28"/>
    </row>
    <row r="226" customFormat="false" ht="15.75" hidden="false" customHeight="true" outlineLevel="0" collapsed="false">
      <c r="I226" s="28"/>
    </row>
    <row r="227" customFormat="false" ht="15.75" hidden="false" customHeight="true" outlineLevel="0" collapsed="false">
      <c r="I227" s="28"/>
    </row>
    <row r="228" customFormat="false" ht="15.75" hidden="false" customHeight="true" outlineLevel="0" collapsed="false">
      <c r="I228" s="28"/>
    </row>
    <row r="229" customFormat="false" ht="15.75" hidden="false" customHeight="true" outlineLevel="0" collapsed="false">
      <c r="I229" s="28"/>
    </row>
    <row r="230" customFormat="false" ht="15.75" hidden="false" customHeight="true" outlineLevel="0" collapsed="false">
      <c r="I230" s="28"/>
    </row>
    <row r="231" customFormat="false" ht="15.75" hidden="false" customHeight="true" outlineLevel="0" collapsed="false">
      <c r="I231" s="28"/>
    </row>
    <row r="232" customFormat="false" ht="15.75" hidden="false" customHeight="true" outlineLevel="0" collapsed="false">
      <c r="I232" s="28"/>
    </row>
    <row r="233" customFormat="false" ht="15.75" hidden="false" customHeight="true" outlineLevel="0" collapsed="false">
      <c r="I233" s="28"/>
    </row>
    <row r="234" customFormat="false" ht="15.75" hidden="false" customHeight="true" outlineLevel="0" collapsed="false">
      <c r="I234" s="28"/>
    </row>
    <row r="235" customFormat="false" ht="15.75" hidden="false" customHeight="true" outlineLevel="0" collapsed="false">
      <c r="I235" s="28"/>
    </row>
    <row r="236" customFormat="false" ht="15.75" hidden="false" customHeight="true" outlineLevel="0" collapsed="false">
      <c r="I236" s="28"/>
    </row>
    <row r="237" customFormat="false" ht="15.75" hidden="false" customHeight="true" outlineLevel="0" collapsed="false">
      <c r="I237" s="28"/>
    </row>
    <row r="238" customFormat="false" ht="15.75" hidden="false" customHeight="true" outlineLevel="0" collapsed="false">
      <c r="I238" s="28"/>
    </row>
    <row r="239" customFormat="false" ht="15.75" hidden="false" customHeight="true" outlineLevel="0" collapsed="false">
      <c r="I239" s="28"/>
    </row>
    <row r="240" customFormat="false" ht="15.75" hidden="false" customHeight="true" outlineLevel="0" collapsed="false">
      <c r="I240" s="28"/>
    </row>
    <row r="241" customFormat="false" ht="15.75" hidden="false" customHeight="true" outlineLevel="0" collapsed="false">
      <c r="I241" s="28"/>
    </row>
    <row r="242" customFormat="false" ht="15.75" hidden="false" customHeight="true" outlineLevel="0" collapsed="false">
      <c r="I242" s="28"/>
    </row>
    <row r="243" customFormat="false" ht="15.75" hidden="false" customHeight="true" outlineLevel="0" collapsed="false">
      <c r="I243" s="28"/>
    </row>
    <row r="244" customFormat="false" ht="15.75" hidden="false" customHeight="true" outlineLevel="0" collapsed="false">
      <c r="I244" s="28"/>
    </row>
    <row r="245" customFormat="false" ht="15.75" hidden="false" customHeight="true" outlineLevel="0" collapsed="false">
      <c r="I245" s="28"/>
    </row>
    <row r="246" customFormat="false" ht="15.75" hidden="false" customHeight="true" outlineLevel="0" collapsed="false">
      <c r="I246" s="28"/>
    </row>
    <row r="247" customFormat="false" ht="15.75" hidden="false" customHeight="true" outlineLevel="0" collapsed="false">
      <c r="I247" s="28"/>
    </row>
    <row r="248" customFormat="false" ht="15.75" hidden="false" customHeight="true" outlineLevel="0" collapsed="false">
      <c r="I248" s="28"/>
    </row>
    <row r="249" customFormat="false" ht="15.75" hidden="false" customHeight="true" outlineLevel="0" collapsed="false">
      <c r="I249" s="28"/>
    </row>
    <row r="250" customFormat="false" ht="15.75" hidden="false" customHeight="true" outlineLevel="0" collapsed="false">
      <c r="I250" s="28"/>
    </row>
    <row r="251" customFormat="false" ht="15.75" hidden="false" customHeight="true" outlineLevel="0" collapsed="false">
      <c r="I251" s="28"/>
    </row>
    <row r="252" customFormat="false" ht="15.75" hidden="false" customHeight="true" outlineLevel="0" collapsed="false">
      <c r="I252" s="28"/>
    </row>
    <row r="253" customFormat="false" ht="15.75" hidden="false" customHeight="true" outlineLevel="0" collapsed="false">
      <c r="I253" s="28"/>
    </row>
    <row r="254" customFormat="false" ht="15.75" hidden="false" customHeight="true" outlineLevel="0" collapsed="false">
      <c r="I254" s="28"/>
    </row>
    <row r="255" customFormat="false" ht="15.75" hidden="false" customHeight="true" outlineLevel="0" collapsed="false">
      <c r="I255" s="28"/>
    </row>
    <row r="256" customFormat="false" ht="15.75" hidden="false" customHeight="true" outlineLevel="0" collapsed="false">
      <c r="I256" s="28"/>
    </row>
    <row r="257" customFormat="false" ht="15.75" hidden="false" customHeight="true" outlineLevel="0" collapsed="false">
      <c r="I257" s="28"/>
    </row>
    <row r="258" customFormat="false" ht="15.75" hidden="false" customHeight="true" outlineLevel="0" collapsed="false">
      <c r="I258" s="28"/>
    </row>
    <row r="259" customFormat="false" ht="15.75" hidden="false" customHeight="true" outlineLevel="0" collapsed="false">
      <c r="I259" s="28"/>
    </row>
    <row r="260" customFormat="false" ht="15.75" hidden="false" customHeight="true" outlineLevel="0" collapsed="false">
      <c r="I260" s="28"/>
    </row>
    <row r="261" customFormat="false" ht="15.75" hidden="false" customHeight="true" outlineLevel="0" collapsed="false">
      <c r="I261" s="28"/>
    </row>
    <row r="262" customFormat="false" ht="15.75" hidden="false" customHeight="true" outlineLevel="0" collapsed="false">
      <c r="I262" s="28"/>
    </row>
    <row r="263" customFormat="false" ht="15.75" hidden="false" customHeight="true" outlineLevel="0" collapsed="false">
      <c r="I263" s="28"/>
    </row>
    <row r="264" customFormat="false" ht="15.75" hidden="false" customHeight="true" outlineLevel="0" collapsed="false">
      <c r="I264" s="28"/>
    </row>
    <row r="265" customFormat="false" ht="15.75" hidden="false" customHeight="true" outlineLevel="0" collapsed="false">
      <c r="I265" s="28"/>
    </row>
    <row r="266" customFormat="false" ht="15.75" hidden="false" customHeight="true" outlineLevel="0" collapsed="false">
      <c r="I266" s="28"/>
    </row>
    <row r="267" customFormat="false" ht="15.75" hidden="false" customHeight="true" outlineLevel="0" collapsed="false">
      <c r="I267" s="28"/>
    </row>
    <row r="268" customFormat="false" ht="15.75" hidden="false" customHeight="true" outlineLevel="0" collapsed="false">
      <c r="I268" s="28"/>
    </row>
    <row r="269" customFormat="false" ht="15.75" hidden="false" customHeight="true" outlineLevel="0" collapsed="false">
      <c r="I269" s="28"/>
    </row>
    <row r="270" customFormat="false" ht="15.75" hidden="false" customHeight="true" outlineLevel="0" collapsed="false">
      <c r="I270" s="28"/>
    </row>
    <row r="271" customFormat="false" ht="15.75" hidden="false" customHeight="true" outlineLevel="0" collapsed="false">
      <c r="I271" s="28"/>
    </row>
    <row r="272" customFormat="false" ht="15.75" hidden="false" customHeight="true" outlineLevel="0" collapsed="false">
      <c r="I272" s="28"/>
    </row>
    <row r="273" customFormat="false" ht="15.75" hidden="false" customHeight="true" outlineLevel="0" collapsed="false">
      <c r="I273" s="28"/>
    </row>
    <row r="274" customFormat="false" ht="15.75" hidden="false" customHeight="true" outlineLevel="0" collapsed="false">
      <c r="I274" s="28"/>
    </row>
    <row r="275" customFormat="false" ht="15.75" hidden="false" customHeight="true" outlineLevel="0" collapsed="false">
      <c r="I275" s="28"/>
    </row>
    <row r="276" customFormat="false" ht="15.75" hidden="false" customHeight="true" outlineLevel="0" collapsed="false">
      <c r="I276" s="28"/>
    </row>
    <row r="277" customFormat="false" ht="15.75" hidden="false" customHeight="true" outlineLevel="0" collapsed="false">
      <c r="I277" s="28"/>
    </row>
    <row r="278" customFormat="false" ht="15.75" hidden="false" customHeight="true" outlineLevel="0" collapsed="false">
      <c r="I278" s="28"/>
    </row>
    <row r="279" customFormat="false" ht="15.75" hidden="false" customHeight="true" outlineLevel="0" collapsed="false">
      <c r="I279" s="28"/>
    </row>
    <row r="280" customFormat="false" ht="15.75" hidden="false" customHeight="true" outlineLevel="0" collapsed="false">
      <c r="I280" s="28"/>
    </row>
    <row r="281" customFormat="false" ht="15.75" hidden="false" customHeight="true" outlineLevel="0" collapsed="false">
      <c r="I281" s="28"/>
    </row>
    <row r="282" customFormat="false" ht="15.75" hidden="false" customHeight="true" outlineLevel="0" collapsed="false">
      <c r="I282" s="28"/>
    </row>
    <row r="283" customFormat="false" ht="15.75" hidden="false" customHeight="true" outlineLevel="0" collapsed="false">
      <c r="I283" s="28"/>
    </row>
    <row r="284" customFormat="false" ht="15.75" hidden="false" customHeight="true" outlineLevel="0" collapsed="false">
      <c r="I284" s="28"/>
    </row>
    <row r="285" customFormat="false" ht="15.75" hidden="false" customHeight="true" outlineLevel="0" collapsed="false">
      <c r="I285" s="28"/>
    </row>
    <row r="286" customFormat="false" ht="15.75" hidden="false" customHeight="true" outlineLevel="0" collapsed="false">
      <c r="I286" s="28"/>
    </row>
    <row r="287" customFormat="false" ht="15.75" hidden="false" customHeight="true" outlineLevel="0" collapsed="false">
      <c r="I287" s="28"/>
    </row>
    <row r="288" customFormat="false" ht="15.75" hidden="false" customHeight="true" outlineLevel="0" collapsed="false">
      <c r="I288" s="28"/>
    </row>
    <row r="289" customFormat="false" ht="15.75" hidden="false" customHeight="true" outlineLevel="0" collapsed="false">
      <c r="I289" s="28"/>
    </row>
    <row r="290" customFormat="false" ht="15.75" hidden="false" customHeight="true" outlineLevel="0" collapsed="false">
      <c r="I290" s="28"/>
    </row>
    <row r="291" customFormat="false" ht="15.75" hidden="false" customHeight="true" outlineLevel="0" collapsed="false">
      <c r="I291" s="28"/>
    </row>
    <row r="292" customFormat="false" ht="15.75" hidden="false" customHeight="true" outlineLevel="0" collapsed="false">
      <c r="I292" s="28"/>
    </row>
    <row r="293" customFormat="false" ht="15.75" hidden="false" customHeight="true" outlineLevel="0" collapsed="false">
      <c r="I293" s="28"/>
    </row>
    <row r="294" customFormat="false" ht="15.75" hidden="false" customHeight="true" outlineLevel="0" collapsed="false">
      <c r="I294" s="28"/>
    </row>
    <row r="295" customFormat="false" ht="15.75" hidden="false" customHeight="true" outlineLevel="0" collapsed="false">
      <c r="I295" s="28"/>
    </row>
    <row r="296" customFormat="false" ht="15.75" hidden="false" customHeight="true" outlineLevel="0" collapsed="false">
      <c r="I296" s="28"/>
    </row>
    <row r="297" customFormat="false" ht="15.75" hidden="false" customHeight="true" outlineLevel="0" collapsed="false">
      <c r="I297" s="28"/>
    </row>
    <row r="298" customFormat="false" ht="15.75" hidden="false" customHeight="true" outlineLevel="0" collapsed="false">
      <c r="I298" s="28"/>
    </row>
    <row r="299" customFormat="false" ht="15.75" hidden="false" customHeight="true" outlineLevel="0" collapsed="false">
      <c r="I299" s="28"/>
    </row>
    <row r="300" customFormat="false" ht="15.75" hidden="false" customHeight="true" outlineLevel="0" collapsed="false">
      <c r="I300" s="28"/>
    </row>
    <row r="301" customFormat="false" ht="15.75" hidden="false" customHeight="true" outlineLevel="0" collapsed="false">
      <c r="I301" s="28"/>
    </row>
    <row r="302" customFormat="false" ht="15.75" hidden="false" customHeight="true" outlineLevel="0" collapsed="false">
      <c r="I302" s="28"/>
    </row>
    <row r="303" customFormat="false" ht="15.75" hidden="false" customHeight="true" outlineLevel="0" collapsed="false">
      <c r="I303" s="28"/>
    </row>
    <row r="304" customFormat="false" ht="15.75" hidden="false" customHeight="true" outlineLevel="0" collapsed="false">
      <c r="I304" s="28"/>
    </row>
    <row r="305" customFormat="false" ht="15.75" hidden="false" customHeight="true" outlineLevel="0" collapsed="false">
      <c r="I305" s="28"/>
    </row>
    <row r="306" customFormat="false" ht="15.75" hidden="false" customHeight="true" outlineLevel="0" collapsed="false">
      <c r="I306" s="28"/>
    </row>
    <row r="307" customFormat="false" ht="15.75" hidden="false" customHeight="true" outlineLevel="0" collapsed="false">
      <c r="I307" s="28"/>
    </row>
    <row r="308" customFormat="false" ht="15.75" hidden="false" customHeight="true" outlineLevel="0" collapsed="false">
      <c r="I308" s="28"/>
    </row>
    <row r="309" customFormat="false" ht="15.75" hidden="false" customHeight="true" outlineLevel="0" collapsed="false">
      <c r="I309" s="28"/>
    </row>
    <row r="310" customFormat="false" ht="15.75" hidden="false" customHeight="true" outlineLevel="0" collapsed="false">
      <c r="I310" s="28"/>
    </row>
    <row r="311" customFormat="false" ht="15.75" hidden="false" customHeight="true" outlineLevel="0" collapsed="false">
      <c r="I311" s="28"/>
    </row>
    <row r="312" customFormat="false" ht="15.75" hidden="false" customHeight="true" outlineLevel="0" collapsed="false">
      <c r="I312" s="28"/>
    </row>
    <row r="313" customFormat="false" ht="15.75" hidden="false" customHeight="true" outlineLevel="0" collapsed="false">
      <c r="I313" s="28"/>
    </row>
    <row r="314" customFormat="false" ht="15.75" hidden="false" customHeight="true" outlineLevel="0" collapsed="false">
      <c r="I314" s="28"/>
    </row>
    <row r="315" customFormat="false" ht="15.75" hidden="false" customHeight="true" outlineLevel="0" collapsed="false">
      <c r="I315" s="28"/>
    </row>
    <row r="316" customFormat="false" ht="15.75" hidden="false" customHeight="true" outlineLevel="0" collapsed="false">
      <c r="I316" s="28"/>
    </row>
    <row r="317" customFormat="false" ht="15.75" hidden="false" customHeight="true" outlineLevel="0" collapsed="false">
      <c r="I317" s="28"/>
    </row>
    <row r="318" customFormat="false" ht="15.75" hidden="false" customHeight="true" outlineLevel="0" collapsed="false">
      <c r="I318" s="28"/>
    </row>
    <row r="319" customFormat="false" ht="15.75" hidden="false" customHeight="true" outlineLevel="0" collapsed="false">
      <c r="I319" s="28"/>
    </row>
    <row r="320" customFormat="false" ht="15.75" hidden="false" customHeight="true" outlineLevel="0" collapsed="false">
      <c r="I320" s="28"/>
    </row>
    <row r="321" customFormat="false" ht="15.75" hidden="false" customHeight="true" outlineLevel="0" collapsed="false">
      <c r="I321" s="28"/>
    </row>
    <row r="322" customFormat="false" ht="15.75" hidden="false" customHeight="true" outlineLevel="0" collapsed="false">
      <c r="I322" s="28"/>
    </row>
    <row r="323" customFormat="false" ht="15.75" hidden="false" customHeight="true" outlineLevel="0" collapsed="false">
      <c r="I323" s="28"/>
    </row>
    <row r="324" customFormat="false" ht="15.75" hidden="false" customHeight="true" outlineLevel="0" collapsed="false">
      <c r="I324" s="28"/>
    </row>
    <row r="325" customFormat="false" ht="15.75" hidden="false" customHeight="true" outlineLevel="0" collapsed="false">
      <c r="I325" s="28"/>
    </row>
    <row r="326" customFormat="false" ht="15.75" hidden="false" customHeight="true" outlineLevel="0" collapsed="false">
      <c r="I326" s="28"/>
    </row>
    <row r="327" customFormat="false" ht="15.75" hidden="false" customHeight="true" outlineLevel="0" collapsed="false">
      <c r="I327" s="28"/>
    </row>
    <row r="328" customFormat="false" ht="15.75" hidden="false" customHeight="true" outlineLevel="0" collapsed="false">
      <c r="I328" s="28"/>
    </row>
    <row r="329" customFormat="false" ht="15.75" hidden="false" customHeight="true" outlineLevel="0" collapsed="false">
      <c r="I329" s="28"/>
    </row>
    <row r="330" customFormat="false" ht="15.75" hidden="false" customHeight="true" outlineLevel="0" collapsed="false">
      <c r="I330" s="28"/>
    </row>
    <row r="331" customFormat="false" ht="15.75" hidden="false" customHeight="true" outlineLevel="0" collapsed="false">
      <c r="I331" s="28"/>
    </row>
    <row r="332" customFormat="false" ht="15.75" hidden="false" customHeight="true" outlineLevel="0" collapsed="false">
      <c r="I332" s="28"/>
    </row>
    <row r="333" customFormat="false" ht="15.75" hidden="false" customHeight="true" outlineLevel="0" collapsed="false">
      <c r="I333" s="28"/>
    </row>
    <row r="334" customFormat="false" ht="15.75" hidden="false" customHeight="true" outlineLevel="0" collapsed="false">
      <c r="I334" s="28"/>
    </row>
    <row r="335" customFormat="false" ht="15.75" hidden="false" customHeight="true" outlineLevel="0" collapsed="false">
      <c r="I335" s="28"/>
    </row>
    <row r="336" customFormat="false" ht="15.75" hidden="false" customHeight="true" outlineLevel="0" collapsed="false">
      <c r="I336" s="28"/>
    </row>
    <row r="337" customFormat="false" ht="15.75" hidden="false" customHeight="true" outlineLevel="0" collapsed="false">
      <c r="I337" s="28"/>
    </row>
    <row r="338" customFormat="false" ht="15.75" hidden="false" customHeight="true" outlineLevel="0" collapsed="false">
      <c r="I338" s="28"/>
    </row>
    <row r="339" customFormat="false" ht="15.75" hidden="false" customHeight="true" outlineLevel="0" collapsed="false">
      <c r="I339" s="28"/>
    </row>
    <row r="340" customFormat="false" ht="15.75" hidden="false" customHeight="true" outlineLevel="0" collapsed="false">
      <c r="I340" s="28"/>
    </row>
    <row r="341" customFormat="false" ht="15.75" hidden="false" customHeight="true" outlineLevel="0" collapsed="false">
      <c r="I341" s="28"/>
    </row>
    <row r="342" customFormat="false" ht="15.75" hidden="false" customHeight="true" outlineLevel="0" collapsed="false">
      <c r="I342" s="28"/>
    </row>
    <row r="343" customFormat="false" ht="15.75" hidden="false" customHeight="true" outlineLevel="0" collapsed="false">
      <c r="I343" s="28"/>
    </row>
    <row r="344" customFormat="false" ht="15.75" hidden="false" customHeight="true" outlineLevel="0" collapsed="false">
      <c r="I344" s="28"/>
    </row>
    <row r="345" customFormat="false" ht="15.75" hidden="false" customHeight="true" outlineLevel="0" collapsed="false">
      <c r="I345" s="28"/>
    </row>
    <row r="346" customFormat="false" ht="15.75" hidden="false" customHeight="true" outlineLevel="0" collapsed="false">
      <c r="I346" s="28"/>
    </row>
    <row r="347" customFormat="false" ht="15.75" hidden="false" customHeight="true" outlineLevel="0" collapsed="false">
      <c r="I347" s="28"/>
    </row>
    <row r="348" customFormat="false" ht="15.75" hidden="false" customHeight="true" outlineLevel="0" collapsed="false">
      <c r="I348" s="28"/>
    </row>
    <row r="349" customFormat="false" ht="15.75" hidden="false" customHeight="true" outlineLevel="0" collapsed="false">
      <c r="I349" s="28"/>
    </row>
    <row r="350" customFormat="false" ht="15.75" hidden="false" customHeight="true" outlineLevel="0" collapsed="false">
      <c r="I350" s="28"/>
    </row>
    <row r="351" customFormat="false" ht="15.75" hidden="false" customHeight="true" outlineLevel="0" collapsed="false">
      <c r="I351" s="28"/>
    </row>
    <row r="352" customFormat="false" ht="15.75" hidden="false" customHeight="true" outlineLevel="0" collapsed="false">
      <c r="I352" s="28"/>
    </row>
    <row r="353" customFormat="false" ht="15.75" hidden="false" customHeight="true" outlineLevel="0" collapsed="false">
      <c r="I353" s="28"/>
    </row>
    <row r="354" customFormat="false" ht="15.75" hidden="false" customHeight="true" outlineLevel="0" collapsed="false">
      <c r="I354" s="28"/>
    </row>
    <row r="355" customFormat="false" ht="15.75" hidden="false" customHeight="true" outlineLevel="0" collapsed="false">
      <c r="I355" s="28"/>
    </row>
    <row r="356" customFormat="false" ht="15.75" hidden="false" customHeight="true" outlineLevel="0" collapsed="false">
      <c r="I356" s="28"/>
    </row>
    <row r="357" customFormat="false" ht="15.75" hidden="false" customHeight="true" outlineLevel="0" collapsed="false">
      <c r="I357" s="28"/>
    </row>
    <row r="358" customFormat="false" ht="15.75" hidden="false" customHeight="true" outlineLevel="0" collapsed="false">
      <c r="I358" s="28"/>
    </row>
    <row r="359" customFormat="false" ht="15.75" hidden="false" customHeight="true" outlineLevel="0" collapsed="false">
      <c r="I359" s="28"/>
    </row>
    <row r="360" customFormat="false" ht="15.75" hidden="false" customHeight="true" outlineLevel="0" collapsed="false">
      <c r="I360" s="28"/>
    </row>
    <row r="361" customFormat="false" ht="15.75" hidden="false" customHeight="true" outlineLevel="0" collapsed="false">
      <c r="I361" s="28"/>
    </row>
    <row r="362" customFormat="false" ht="15.75" hidden="false" customHeight="true" outlineLevel="0" collapsed="false">
      <c r="I362" s="28"/>
    </row>
    <row r="363" customFormat="false" ht="15.75" hidden="false" customHeight="true" outlineLevel="0" collapsed="false">
      <c r="I363" s="28"/>
    </row>
    <row r="364" customFormat="false" ht="15.75" hidden="false" customHeight="true" outlineLevel="0" collapsed="false">
      <c r="I364" s="28"/>
    </row>
    <row r="365" customFormat="false" ht="15.75" hidden="false" customHeight="true" outlineLevel="0" collapsed="false">
      <c r="I365" s="28"/>
    </row>
    <row r="366" customFormat="false" ht="15.75" hidden="false" customHeight="true" outlineLevel="0" collapsed="false">
      <c r="I366" s="28"/>
    </row>
    <row r="367" customFormat="false" ht="15.75" hidden="false" customHeight="true" outlineLevel="0" collapsed="false">
      <c r="I367" s="28"/>
    </row>
    <row r="368" customFormat="false" ht="15.75" hidden="false" customHeight="true" outlineLevel="0" collapsed="false">
      <c r="I368" s="28"/>
    </row>
    <row r="369" customFormat="false" ht="15.75" hidden="false" customHeight="true" outlineLevel="0" collapsed="false">
      <c r="I369" s="28"/>
    </row>
    <row r="370" customFormat="false" ht="15.75" hidden="false" customHeight="true" outlineLevel="0" collapsed="false">
      <c r="I370" s="28"/>
    </row>
    <row r="371" customFormat="false" ht="15.75" hidden="false" customHeight="true" outlineLevel="0" collapsed="false">
      <c r="I371" s="28"/>
    </row>
    <row r="372" customFormat="false" ht="15.75" hidden="false" customHeight="true" outlineLevel="0" collapsed="false">
      <c r="I372" s="28"/>
    </row>
    <row r="373" customFormat="false" ht="15.75" hidden="false" customHeight="true" outlineLevel="0" collapsed="false">
      <c r="I373" s="28"/>
    </row>
    <row r="374" customFormat="false" ht="15.75" hidden="false" customHeight="true" outlineLevel="0" collapsed="false">
      <c r="I374" s="28"/>
    </row>
    <row r="375" customFormat="false" ht="15.75" hidden="false" customHeight="true" outlineLevel="0" collapsed="false">
      <c r="I375" s="28"/>
    </row>
    <row r="376" customFormat="false" ht="15.75" hidden="false" customHeight="true" outlineLevel="0" collapsed="false">
      <c r="I376" s="28"/>
    </row>
    <row r="377" customFormat="false" ht="15.75" hidden="false" customHeight="true" outlineLevel="0" collapsed="false">
      <c r="I377" s="28"/>
    </row>
    <row r="378" customFormat="false" ht="15.75" hidden="false" customHeight="true" outlineLevel="0" collapsed="false">
      <c r="I378" s="28"/>
    </row>
    <row r="379" customFormat="false" ht="15.75" hidden="false" customHeight="true" outlineLevel="0" collapsed="false">
      <c r="I379" s="28"/>
    </row>
    <row r="380" customFormat="false" ht="15.75" hidden="false" customHeight="true" outlineLevel="0" collapsed="false">
      <c r="I380" s="28"/>
    </row>
    <row r="381" customFormat="false" ht="15.75" hidden="false" customHeight="true" outlineLevel="0" collapsed="false">
      <c r="I381" s="28"/>
    </row>
    <row r="382" customFormat="false" ht="15.75" hidden="false" customHeight="true" outlineLevel="0" collapsed="false">
      <c r="I382" s="28"/>
    </row>
    <row r="383" customFormat="false" ht="15.75" hidden="false" customHeight="true" outlineLevel="0" collapsed="false">
      <c r="I383" s="28"/>
    </row>
    <row r="384" customFormat="false" ht="15.75" hidden="false" customHeight="true" outlineLevel="0" collapsed="false">
      <c r="I384" s="28"/>
    </row>
    <row r="385" customFormat="false" ht="15.75" hidden="false" customHeight="true" outlineLevel="0" collapsed="false">
      <c r="I385" s="28"/>
    </row>
    <row r="386" customFormat="false" ht="15.75" hidden="false" customHeight="true" outlineLevel="0" collapsed="false">
      <c r="I386" s="28"/>
    </row>
    <row r="387" customFormat="false" ht="15.75" hidden="false" customHeight="true" outlineLevel="0" collapsed="false">
      <c r="I387" s="28"/>
    </row>
    <row r="388" customFormat="false" ht="15.75" hidden="false" customHeight="true" outlineLevel="0" collapsed="false">
      <c r="I388" s="28"/>
    </row>
    <row r="389" customFormat="false" ht="15.75" hidden="false" customHeight="true" outlineLevel="0" collapsed="false">
      <c r="I389" s="28"/>
    </row>
    <row r="390" customFormat="false" ht="15.75" hidden="false" customHeight="true" outlineLevel="0" collapsed="false">
      <c r="I390" s="28"/>
    </row>
    <row r="391" customFormat="false" ht="15.75" hidden="false" customHeight="true" outlineLevel="0" collapsed="false">
      <c r="I391" s="28"/>
    </row>
    <row r="392" customFormat="false" ht="15.75" hidden="false" customHeight="true" outlineLevel="0" collapsed="false">
      <c r="I392" s="28"/>
    </row>
    <row r="393" customFormat="false" ht="15.75" hidden="false" customHeight="true" outlineLevel="0" collapsed="false">
      <c r="I393" s="28"/>
    </row>
    <row r="394" customFormat="false" ht="15.75" hidden="false" customHeight="true" outlineLevel="0" collapsed="false">
      <c r="I394" s="28"/>
    </row>
    <row r="395" customFormat="false" ht="15.75" hidden="false" customHeight="true" outlineLevel="0" collapsed="false">
      <c r="I395" s="28"/>
    </row>
    <row r="396" customFormat="false" ht="15.75" hidden="false" customHeight="true" outlineLevel="0" collapsed="false">
      <c r="I396" s="28"/>
    </row>
    <row r="397" customFormat="false" ht="15.75" hidden="false" customHeight="true" outlineLevel="0" collapsed="false">
      <c r="I397" s="28"/>
    </row>
    <row r="398" customFormat="false" ht="15.75" hidden="false" customHeight="true" outlineLevel="0" collapsed="false">
      <c r="I398" s="28"/>
    </row>
    <row r="399" customFormat="false" ht="15.75" hidden="false" customHeight="true" outlineLevel="0" collapsed="false">
      <c r="I399" s="28"/>
    </row>
    <row r="400" customFormat="false" ht="15.75" hidden="false" customHeight="true" outlineLevel="0" collapsed="false">
      <c r="I400" s="28"/>
    </row>
    <row r="401" customFormat="false" ht="15.75" hidden="false" customHeight="true" outlineLevel="0" collapsed="false">
      <c r="I401" s="28"/>
    </row>
    <row r="402" customFormat="false" ht="15.75" hidden="false" customHeight="true" outlineLevel="0" collapsed="false">
      <c r="I402" s="28"/>
    </row>
    <row r="403" customFormat="false" ht="15.75" hidden="false" customHeight="true" outlineLevel="0" collapsed="false">
      <c r="I403" s="28"/>
    </row>
    <row r="404" customFormat="false" ht="15.75" hidden="false" customHeight="true" outlineLevel="0" collapsed="false">
      <c r="I404" s="28"/>
    </row>
    <row r="405" customFormat="false" ht="15.75" hidden="false" customHeight="true" outlineLevel="0" collapsed="false">
      <c r="I405" s="28"/>
    </row>
    <row r="406" customFormat="false" ht="15.75" hidden="false" customHeight="true" outlineLevel="0" collapsed="false">
      <c r="I406" s="28"/>
    </row>
    <row r="407" customFormat="false" ht="15.75" hidden="false" customHeight="true" outlineLevel="0" collapsed="false">
      <c r="I407" s="28"/>
    </row>
    <row r="408" customFormat="false" ht="15.75" hidden="false" customHeight="true" outlineLevel="0" collapsed="false">
      <c r="I408" s="28"/>
    </row>
    <row r="409" customFormat="false" ht="15.75" hidden="false" customHeight="true" outlineLevel="0" collapsed="false">
      <c r="I409" s="28"/>
    </row>
    <row r="410" customFormat="false" ht="15.75" hidden="false" customHeight="true" outlineLevel="0" collapsed="false">
      <c r="I410" s="28"/>
    </row>
    <row r="411" customFormat="false" ht="15.75" hidden="false" customHeight="true" outlineLevel="0" collapsed="false">
      <c r="I411" s="28"/>
    </row>
    <row r="412" customFormat="false" ht="15.75" hidden="false" customHeight="true" outlineLevel="0" collapsed="false">
      <c r="I412" s="28"/>
    </row>
    <row r="413" customFormat="false" ht="15.75" hidden="false" customHeight="true" outlineLevel="0" collapsed="false">
      <c r="I413" s="28"/>
    </row>
    <row r="414" customFormat="false" ht="15.75" hidden="false" customHeight="true" outlineLevel="0" collapsed="false">
      <c r="I414" s="28"/>
    </row>
    <row r="415" customFormat="false" ht="15.75" hidden="false" customHeight="true" outlineLevel="0" collapsed="false">
      <c r="I415" s="28"/>
    </row>
    <row r="416" customFormat="false" ht="15.75" hidden="false" customHeight="true" outlineLevel="0" collapsed="false">
      <c r="I416" s="28"/>
    </row>
    <row r="417" customFormat="false" ht="15.75" hidden="false" customHeight="true" outlineLevel="0" collapsed="false">
      <c r="I417" s="28"/>
    </row>
    <row r="418" customFormat="false" ht="15.75" hidden="false" customHeight="true" outlineLevel="0" collapsed="false">
      <c r="I418" s="28"/>
    </row>
    <row r="419" customFormat="false" ht="15.75" hidden="false" customHeight="true" outlineLevel="0" collapsed="false">
      <c r="I419" s="28"/>
    </row>
    <row r="420" customFormat="false" ht="15.75" hidden="false" customHeight="true" outlineLevel="0" collapsed="false">
      <c r="I420" s="28"/>
    </row>
    <row r="421" customFormat="false" ht="15.75" hidden="false" customHeight="true" outlineLevel="0" collapsed="false">
      <c r="I421" s="28"/>
    </row>
    <row r="422" customFormat="false" ht="15.75" hidden="false" customHeight="true" outlineLevel="0" collapsed="false">
      <c r="I422" s="28"/>
    </row>
    <row r="423" customFormat="false" ht="15.75" hidden="false" customHeight="true" outlineLevel="0" collapsed="false">
      <c r="I423" s="28"/>
    </row>
    <row r="424" customFormat="false" ht="15.75" hidden="false" customHeight="true" outlineLevel="0" collapsed="false">
      <c r="I424" s="28"/>
    </row>
    <row r="425" customFormat="false" ht="15.75" hidden="false" customHeight="true" outlineLevel="0" collapsed="false">
      <c r="I425" s="28"/>
    </row>
    <row r="426" customFormat="false" ht="15.75" hidden="false" customHeight="true" outlineLevel="0" collapsed="false">
      <c r="I426" s="28"/>
    </row>
    <row r="427" customFormat="false" ht="15.75" hidden="false" customHeight="true" outlineLevel="0" collapsed="false">
      <c r="I427" s="28"/>
    </row>
    <row r="428" customFormat="false" ht="15.75" hidden="false" customHeight="true" outlineLevel="0" collapsed="false">
      <c r="I428" s="28"/>
    </row>
    <row r="429" customFormat="false" ht="15.75" hidden="false" customHeight="true" outlineLevel="0" collapsed="false">
      <c r="I429" s="28"/>
    </row>
    <row r="430" customFormat="false" ht="15.75" hidden="false" customHeight="true" outlineLevel="0" collapsed="false">
      <c r="I430" s="28"/>
    </row>
    <row r="431" customFormat="false" ht="15.75" hidden="false" customHeight="true" outlineLevel="0" collapsed="false">
      <c r="I431" s="28"/>
    </row>
    <row r="432" customFormat="false" ht="15.75" hidden="false" customHeight="true" outlineLevel="0" collapsed="false">
      <c r="I432" s="28"/>
    </row>
    <row r="433" customFormat="false" ht="15.75" hidden="false" customHeight="true" outlineLevel="0" collapsed="false">
      <c r="I433" s="28"/>
    </row>
    <row r="434" customFormat="false" ht="15.75" hidden="false" customHeight="true" outlineLevel="0" collapsed="false">
      <c r="I434" s="28"/>
    </row>
    <row r="435" customFormat="false" ht="15.75" hidden="false" customHeight="true" outlineLevel="0" collapsed="false">
      <c r="I435" s="28"/>
    </row>
    <row r="436" customFormat="false" ht="15.75" hidden="false" customHeight="true" outlineLevel="0" collapsed="false">
      <c r="I436" s="28"/>
    </row>
    <row r="437" customFormat="false" ht="15.75" hidden="false" customHeight="true" outlineLevel="0" collapsed="false">
      <c r="I437" s="28"/>
    </row>
    <row r="438" customFormat="false" ht="15.75" hidden="false" customHeight="true" outlineLevel="0" collapsed="false">
      <c r="I438" s="28"/>
    </row>
    <row r="439" customFormat="false" ht="15.75" hidden="false" customHeight="true" outlineLevel="0" collapsed="false">
      <c r="I439" s="28"/>
    </row>
    <row r="440" customFormat="false" ht="15.75" hidden="false" customHeight="true" outlineLevel="0" collapsed="false">
      <c r="I440" s="28"/>
    </row>
    <row r="441" customFormat="false" ht="15.75" hidden="false" customHeight="true" outlineLevel="0" collapsed="false">
      <c r="I441" s="28"/>
    </row>
    <row r="442" customFormat="false" ht="15.75" hidden="false" customHeight="true" outlineLevel="0" collapsed="false">
      <c r="I442" s="28"/>
    </row>
    <row r="443" customFormat="false" ht="15.75" hidden="false" customHeight="true" outlineLevel="0" collapsed="false">
      <c r="I443" s="28"/>
    </row>
    <row r="444" customFormat="false" ht="15.75" hidden="false" customHeight="true" outlineLevel="0" collapsed="false">
      <c r="I444" s="28"/>
    </row>
    <row r="445" customFormat="false" ht="15.75" hidden="false" customHeight="true" outlineLevel="0" collapsed="false">
      <c r="I445" s="28"/>
    </row>
    <row r="446" customFormat="false" ht="15.75" hidden="false" customHeight="true" outlineLevel="0" collapsed="false">
      <c r="I446" s="28"/>
    </row>
    <row r="447" customFormat="false" ht="15.75" hidden="false" customHeight="true" outlineLevel="0" collapsed="false">
      <c r="I447" s="28"/>
    </row>
    <row r="448" customFormat="false" ht="15.75" hidden="false" customHeight="true" outlineLevel="0" collapsed="false">
      <c r="I448" s="28"/>
    </row>
    <row r="449" customFormat="false" ht="15.75" hidden="false" customHeight="true" outlineLevel="0" collapsed="false">
      <c r="I449" s="28"/>
    </row>
    <row r="450" customFormat="false" ht="15.75" hidden="false" customHeight="true" outlineLevel="0" collapsed="false">
      <c r="I450" s="28"/>
    </row>
    <row r="451" customFormat="false" ht="15.75" hidden="false" customHeight="true" outlineLevel="0" collapsed="false">
      <c r="I451" s="28"/>
    </row>
    <row r="452" customFormat="false" ht="15.75" hidden="false" customHeight="true" outlineLevel="0" collapsed="false">
      <c r="I452" s="28"/>
    </row>
    <row r="453" customFormat="false" ht="15.75" hidden="false" customHeight="true" outlineLevel="0" collapsed="false">
      <c r="I453" s="28"/>
    </row>
    <row r="454" customFormat="false" ht="15.75" hidden="false" customHeight="true" outlineLevel="0" collapsed="false">
      <c r="I454" s="28"/>
    </row>
    <row r="455" customFormat="false" ht="15.75" hidden="false" customHeight="true" outlineLevel="0" collapsed="false">
      <c r="I455" s="28"/>
    </row>
    <row r="456" customFormat="false" ht="15.75" hidden="false" customHeight="true" outlineLevel="0" collapsed="false">
      <c r="I456" s="28"/>
    </row>
    <row r="457" customFormat="false" ht="15.75" hidden="false" customHeight="true" outlineLevel="0" collapsed="false">
      <c r="I457" s="28"/>
    </row>
    <row r="458" customFormat="false" ht="15.75" hidden="false" customHeight="true" outlineLevel="0" collapsed="false">
      <c r="I458" s="28"/>
    </row>
    <row r="459" customFormat="false" ht="15.75" hidden="false" customHeight="true" outlineLevel="0" collapsed="false">
      <c r="I459" s="28"/>
    </row>
    <row r="460" customFormat="false" ht="15.75" hidden="false" customHeight="true" outlineLevel="0" collapsed="false">
      <c r="I460" s="28"/>
    </row>
    <row r="461" customFormat="false" ht="15.75" hidden="false" customHeight="true" outlineLevel="0" collapsed="false">
      <c r="I461" s="28"/>
    </row>
    <row r="462" customFormat="false" ht="15.75" hidden="false" customHeight="true" outlineLevel="0" collapsed="false">
      <c r="I462" s="28"/>
    </row>
    <row r="463" customFormat="false" ht="15.75" hidden="false" customHeight="true" outlineLevel="0" collapsed="false">
      <c r="I463" s="28"/>
    </row>
    <row r="464" customFormat="false" ht="15.75" hidden="false" customHeight="true" outlineLevel="0" collapsed="false">
      <c r="I464" s="28"/>
    </row>
    <row r="465" customFormat="false" ht="15.75" hidden="false" customHeight="true" outlineLevel="0" collapsed="false">
      <c r="I465" s="28"/>
    </row>
    <row r="466" customFormat="false" ht="15.75" hidden="false" customHeight="true" outlineLevel="0" collapsed="false">
      <c r="I466" s="28"/>
    </row>
    <row r="467" customFormat="false" ht="15.75" hidden="false" customHeight="true" outlineLevel="0" collapsed="false">
      <c r="I467" s="28"/>
    </row>
    <row r="468" customFormat="false" ht="15.75" hidden="false" customHeight="true" outlineLevel="0" collapsed="false">
      <c r="I468" s="28"/>
    </row>
    <row r="469" customFormat="false" ht="15.75" hidden="false" customHeight="true" outlineLevel="0" collapsed="false">
      <c r="I469" s="28"/>
    </row>
    <row r="470" customFormat="false" ht="15.75" hidden="false" customHeight="true" outlineLevel="0" collapsed="false">
      <c r="I470" s="28"/>
    </row>
    <row r="471" customFormat="false" ht="15.75" hidden="false" customHeight="true" outlineLevel="0" collapsed="false">
      <c r="I471" s="28"/>
    </row>
    <row r="472" customFormat="false" ht="15.75" hidden="false" customHeight="true" outlineLevel="0" collapsed="false">
      <c r="I472" s="28"/>
    </row>
    <row r="473" customFormat="false" ht="15.75" hidden="false" customHeight="true" outlineLevel="0" collapsed="false">
      <c r="I473" s="28"/>
    </row>
    <row r="474" customFormat="false" ht="15.75" hidden="false" customHeight="true" outlineLevel="0" collapsed="false">
      <c r="I474" s="28"/>
    </row>
    <row r="475" customFormat="false" ht="15.75" hidden="false" customHeight="true" outlineLevel="0" collapsed="false">
      <c r="I475" s="28"/>
    </row>
    <row r="476" customFormat="false" ht="15.75" hidden="false" customHeight="true" outlineLevel="0" collapsed="false">
      <c r="I476" s="28"/>
    </row>
    <row r="477" customFormat="false" ht="15.75" hidden="false" customHeight="true" outlineLevel="0" collapsed="false">
      <c r="I477" s="28"/>
    </row>
    <row r="478" customFormat="false" ht="15.75" hidden="false" customHeight="true" outlineLevel="0" collapsed="false">
      <c r="I478" s="28"/>
    </row>
    <row r="479" customFormat="false" ht="15.75" hidden="false" customHeight="true" outlineLevel="0" collapsed="false">
      <c r="I479" s="28"/>
    </row>
    <row r="480" customFormat="false" ht="15.75" hidden="false" customHeight="true" outlineLevel="0" collapsed="false">
      <c r="I480" s="28"/>
    </row>
    <row r="481" customFormat="false" ht="15.75" hidden="false" customHeight="true" outlineLevel="0" collapsed="false">
      <c r="I481" s="28"/>
    </row>
    <row r="482" customFormat="false" ht="15.75" hidden="false" customHeight="true" outlineLevel="0" collapsed="false">
      <c r="I482" s="28"/>
    </row>
    <row r="483" customFormat="false" ht="15.75" hidden="false" customHeight="true" outlineLevel="0" collapsed="false">
      <c r="I483" s="28"/>
    </row>
    <row r="484" customFormat="false" ht="15.75" hidden="false" customHeight="true" outlineLevel="0" collapsed="false">
      <c r="I484" s="28"/>
    </row>
    <row r="485" customFormat="false" ht="15.75" hidden="false" customHeight="true" outlineLevel="0" collapsed="false">
      <c r="I485" s="28"/>
    </row>
    <row r="486" customFormat="false" ht="15.75" hidden="false" customHeight="true" outlineLevel="0" collapsed="false">
      <c r="I486" s="28"/>
    </row>
    <row r="487" customFormat="false" ht="15.75" hidden="false" customHeight="true" outlineLevel="0" collapsed="false">
      <c r="I487" s="28"/>
    </row>
    <row r="488" customFormat="false" ht="15.75" hidden="false" customHeight="true" outlineLevel="0" collapsed="false">
      <c r="I488" s="28"/>
    </row>
    <row r="489" customFormat="false" ht="15.75" hidden="false" customHeight="true" outlineLevel="0" collapsed="false">
      <c r="I489" s="28"/>
    </row>
    <row r="490" customFormat="false" ht="15.75" hidden="false" customHeight="true" outlineLevel="0" collapsed="false">
      <c r="I490" s="28"/>
    </row>
    <row r="491" customFormat="false" ht="15.75" hidden="false" customHeight="true" outlineLevel="0" collapsed="false">
      <c r="I491" s="28"/>
    </row>
    <row r="492" customFormat="false" ht="15.75" hidden="false" customHeight="true" outlineLevel="0" collapsed="false">
      <c r="I492" s="28"/>
    </row>
    <row r="493" customFormat="false" ht="15.75" hidden="false" customHeight="true" outlineLevel="0" collapsed="false">
      <c r="I493" s="28"/>
    </row>
    <row r="494" customFormat="false" ht="15.75" hidden="false" customHeight="true" outlineLevel="0" collapsed="false">
      <c r="I494" s="28"/>
    </row>
    <row r="495" customFormat="false" ht="15.75" hidden="false" customHeight="true" outlineLevel="0" collapsed="false">
      <c r="I495" s="28"/>
    </row>
    <row r="496" customFormat="false" ht="15.75" hidden="false" customHeight="true" outlineLevel="0" collapsed="false">
      <c r="I496" s="28"/>
    </row>
    <row r="497" customFormat="false" ht="15.75" hidden="false" customHeight="true" outlineLevel="0" collapsed="false">
      <c r="I497" s="28"/>
    </row>
    <row r="498" customFormat="false" ht="15.75" hidden="false" customHeight="true" outlineLevel="0" collapsed="false">
      <c r="I498" s="28"/>
    </row>
    <row r="499" customFormat="false" ht="15.75" hidden="false" customHeight="true" outlineLevel="0" collapsed="false">
      <c r="I499" s="28"/>
    </row>
    <row r="500" customFormat="false" ht="15.75" hidden="false" customHeight="true" outlineLevel="0" collapsed="false">
      <c r="I500" s="28"/>
    </row>
    <row r="501" customFormat="false" ht="15.75" hidden="false" customHeight="true" outlineLevel="0" collapsed="false">
      <c r="I501" s="28"/>
    </row>
    <row r="502" customFormat="false" ht="15.75" hidden="false" customHeight="true" outlineLevel="0" collapsed="false">
      <c r="I502" s="28"/>
    </row>
    <row r="503" customFormat="false" ht="15.75" hidden="false" customHeight="true" outlineLevel="0" collapsed="false">
      <c r="I503" s="28"/>
    </row>
    <row r="504" customFormat="false" ht="15.75" hidden="false" customHeight="true" outlineLevel="0" collapsed="false">
      <c r="I504" s="28"/>
    </row>
    <row r="505" customFormat="false" ht="15.75" hidden="false" customHeight="true" outlineLevel="0" collapsed="false">
      <c r="I505" s="28"/>
    </row>
    <row r="506" customFormat="false" ht="15.75" hidden="false" customHeight="true" outlineLevel="0" collapsed="false">
      <c r="I506" s="28"/>
    </row>
    <row r="507" customFormat="false" ht="15.75" hidden="false" customHeight="true" outlineLevel="0" collapsed="false">
      <c r="I507" s="28"/>
    </row>
    <row r="508" customFormat="false" ht="15.75" hidden="false" customHeight="true" outlineLevel="0" collapsed="false">
      <c r="I508" s="28"/>
    </row>
    <row r="509" customFormat="false" ht="15.75" hidden="false" customHeight="true" outlineLevel="0" collapsed="false">
      <c r="I509" s="28"/>
    </row>
    <row r="510" customFormat="false" ht="15.75" hidden="false" customHeight="true" outlineLevel="0" collapsed="false">
      <c r="I510" s="28"/>
    </row>
    <row r="511" customFormat="false" ht="15.75" hidden="false" customHeight="true" outlineLevel="0" collapsed="false">
      <c r="I511" s="28"/>
    </row>
    <row r="512" customFormat="false" ht="15.75" hidden="false" customHeight="true" outlineLevel="0" collapsed="false">
      <c r="I512" s="28"/>
    </row>
    <row r="513" customFormat="false" ht="15.75" hidden="false" customHeight="true" outlineLevel="0" collapsed="false">
      <c r="I513" s="28"/>
    </row>
    <row r="514" customFormat="false" ht="15.75" hidden="false" customHeight="true" outlineLevel="0" collapsed="false">
      <c r="I514" s="28"/>
    </row>
    <row r="515" customFormat="false" ht="15.75" hidden="false" customHeight="true" outlineLevel="0" collapsed="false">
      <c r="I515" s="28"/>
    </row>
    <row r="516" customFormat="false" ht="15.75" hidden="false" customHeight="true" outlineLevel="0" collapsed="false">
      <c r="I516" s="28"/>
    </row>
    <row r="517" customFormat="false" ht="15.75" hidden="false" customHeight="true" outlineLevel="0" collapsed="false">
      <c r="I517" s="28"/>
    </row>
    <row r="518" customFormat="false" ht="15.75" hidden="false" customHeight="true" outlineLevel="0" collapsed="false">
      <c r="I518" s="28"/>
    </row>
    <row r="519" customFormat="false" ht="15.75" hidden="false" customHeight="true" outlineLevel="0" collapsed="false">
      <c r="I519" s="28"/>
    </row>
    <row r="520" customFormat="false" ht="15.75" hidden="false" customHeight="true" outlineLevel="0" collapsed="false">
      <c r="I520" s="28"/>
    </row>
    <row r="521" customFormat="false" ht="15.75" hidden="false" customHeight="true" outlineLevel="0" collapsed="false">
      <c r="I521" s="28"/>
    </row>
    <row r="522" customFormat="false" ht="15.75" hidden="false" customHeight="true" outlineLevel="0" collapsed="false">
      <c r="I522" s="28"/>
    </row>
    <row r="523" customFormat="false" ht="15.75" hidden="false" customHeight="true" outlineLevel="0" collapsed="false">
      <c r="I523" s="28"/>
    </row>
    <row r="524" customFormat="false" ht="15.75" hidden="false" customHeight="true" outlineLevel="0" collapsed="false">
      <c r="I524" s="28"/>
    </row>
    <row r="525" customFormat="false" ht="15.75" hidden="false" customHeight="true" outlineLevel="0" collapsed="false">
      <c r="I525" s="28"/>
    </row>
    <row r="526" customFormat="false" ht="15.75" hidden="false" customHeight="true" outlineLevel="0" collapsed="false">
      <c r="I526" s="28"/>
    </row>
    <row r="527" customFormat="false" ht="15.75" hidden="false" customHeight="true" outlineLevel="0" collapsed="false">
      <c r="I527" s="28"/>
    </row>
    <row r="528" customFormat="false" ht="15.75" hidden="false" customHeight="true" outlineLevel="0" collapsed="false">
      <c r="I528" s="28"/>
    </row>
    <row r="529" customFormat="false" ht="15.75" hidden="false" customHeight="true" outlineLevel="0" collapsed="false">
      <c r="I529" s="28"/>
    </row>
    <row r="530" customFormat="false" ht="15.75" hidden="false" customHeight="true" outlineLevel="0" collapsed="false">
      <c r="I530" s="28"/>
    </row>
    <row r="531" customFormat="false" ht="15.75" hidden="false" customHeight="true" outlineLevel="0" collapsed="false">
      <c r="I531" s="28"/>
    </row>
    <row r="532" customFormat="false" ht="15.75" hidden="false" customHeight="true" outlineLevel="0" collapsed="false">
      <c r="I532" s="28"/>
    </row>
    <row r="533" customFormat="false" ht="15.75" hidden="false" customHeight="true" outlineLevel="0" collapsed="false">
      <c r="I533" s="28"/>
    </row>
    <row r="534" customFormat="false" ht="15.75" hidden="false" customHeight="true" outlineLevel="0" collapsed="false">
      <c r="I534" s="28"/>
    </row>
    <row r="535" customFormat="false" ht="15.75" hidden="false" customHeight="true" outlineLevel="0" collapsed="false">
      <c r="I535" s="28"/>
    </row>
    <row r="536" customFormat="false" ht="15.75" hidden="false" customHeight="true" outlineLevel="0" collapsed="false">
      <c r="I536" s="28"/>
    </row>
    <row r="537" customFormat="false" ht="15.75" hidden="false" customHeight="true" outlineLevel="0" collapsed="false">
      <c r="I537" s="28"/>
    </row>
    <row r="538" customFormat="false" ht="15.75" hidden="false" customHeight="true" outlineLevel="0" collapsed="false">
      <c r="I538" s="28"/>
    </row>
    <row r="539" customFormat="false" ht="15.75" hidden="false" customHeight="true" outlineLevel="0" collapsed="false">
      <c r="I539" s="28"/>
    </row>
    <row r="540" customFormat="false" ht="15.75" hidden="false" customHeight="true" outlineLevel="0" collapsed="false">
      <c r="I540" s="28"/>
    </row>
    <row r="541" customFormat="false" ht="15.75" hidden="false" customHeight="true" outlineLevel="0" collapsed="false">
      <c r="I541" s="28"/>
    </row>
    <row r="542" customFormat="false" ht="15.75" hidden="false" customHeight="true" outlineLevel="0" collapsed="false">
      <c r="I542" s="28"/>
    </row>
    <row r="543" customFormat="false" ht="15.75" hidden="false" customHeight="true" outlineLevel="0" collapsed="false">
      <c r="I543" s="28"/>
    </row>
    <row r="544" customFormat="false" ht="15.75" hidden="false" customHeight="true" outlineLevel="0" collapsed="false">
      <c r="I544" s="28"/>
    </row>
    <row r="545" customFormat="false" ht="15.75" hidden="false" customHeight="true" outlineLevel="0" collapsed="false">
      <c r="I545" s="28"/>
    </row>
    <row r="546" customFormat="false" ht="15.75" hidden="false" customHeight="true" outlineLevel="0" collapsed="false">
      <c r="I546" s="28"/>
    </row>
    <row r="547" customFormat="false" ht="15.75" hidden="false" customHeight="true" outlineLevel="0" collapsed="false">
      <c r="I547" s="28"/>
    </row>
    <row r="548" customFormat="false" ht="15.75" hidden="false" customHeight="true" outlineLevel="0" collapsed="false">
      <c r="I548" s="28"/>
    </row>
    <row r="549" customFormat="false" ht="15.75" hidden="false" customHeight="true" outlineLevel="0" collapsed="false">
      <c r="I549" s="28"/>
    </row>
    <row r="550" customFormat="false" ht="15.75" hidden="false" customHeight="true" outlineLevel="0" collapsed="false">
      <c r="I550" s="28"/>
    </row>
    <row r="551" customFormat="false" ht="15.75" hidden="false" customHeight="true" outlineLevel="0" collapsed="false">
      <c r="I551" s="28"/>
    </row>
    <row r="552" customFormat="false" ht="15.75" hidden="false" customHeight="true" outlineLevel="0" collapsed="false">
      <c r="I552" s="28"/>
    </row>
    <row r="553" customFormat="false" ht="15.75" hidden="false" customHeight="true" outlineLevel="0" collapsed="false">
      <c r="I553" s="28"/>
    </row>
    <row r="554" customFormat="false" ht="15.75" hidden="false" customHeight="true" outlineLevel="0" collapsed="false">
      <c r="I554" s="28"/>
    </row>
    <row r="555" customFormat="false" ht="15.75" hidden="false" customHeight="true" outlineLevel="0" collapsed="false">
      <c r="I555" s="28"/>
    </row>
    <row r="556" customFormat="false" ht="15.75" hidden="false" customHeight="true" outlineLevel="0" collapsed="false">
      <c r="I556" s="28"/>
    </row>
    <row r="557" customFormat="false" ht="15.75" hidden="false" customHeight="true" outlineLevel="0" collapsed="false">
      <c r="I557" s="28"/>
    </row>
    <row r="558" customFormat="false" ht="15.75" hidden="false" customHeight="true" outlineLevel="0" collapsed="false">
      <c r="I558" s="28"/>
    </row>
    <row r="559" customFormat="false" ht="15.75" hidden="false" customHeight="true" outlineLevel="0" collapsed="false">
      <c r="I559" s="28"/>
    </row>
    <row r="560" customFormat="false" ht="15.75" hidden="false" customHeight="true" outlineLevel="0" collapsed="false">
      <c r="I560" s="28"/>
    </row>
    <row r="561" customFormat="false" ht="15.75" hidden="false" customHeight="true" outlineLevel="0" collapsed="false">
      <c r="I561" s="28"/>
    </row>
    <row r="562" customFormat="false" ht="15.75" hidden="false" customHeight="true" outlineLevel="0" collapsed="false">
      <c r="I562" s="28"/>
    </row>
    <row r="563" customFormat="false" ht="15.75" hidden="false" customHeight="true" outlineLevel="0" collapsed="false">
      <c r="I563" s="28"/>
    </row>
    <row r="564" customFormat="false" ht="15.75" hidden="false" customHeight="true" outlineLevel="0" collapsed="false">
      <c r="I564" s="28"/>
    </row>
    <row r="565" customFormat="false" ht="15.75" hidden="false" customHeight="true" outlineLevel="0" collapsed="false">
      <c r="I565" s="28"/>
    </row>
    <row r="566" customFormat="false" ht="15.75" hidden="false" customHeight="true" outlineLevel="0" collapsed="false">
      <c r="I566" s="28"/>
    </row>
    <row r="567" customFormat="false" ht="15.75" hidden="false" customHeight="true" outlineLevel="0" collapsed="false">
      <c r="I567" s="28"/>
    </row>
    <row r="568" customFormat="false" ht="15.75" hidden="false" customHeight="true" outlineLevel="0" collapsed="false">
      <c r="I568" s="28"/>
    </row>
    <row r="569" customFormat="false" ht="15.75" hidden="false" customHeight="true" outlineLevel="0" collapsed="false">
      <c r="I569" s="28"/>
    </row>
    <row r="570" customFormat="false" ht="15.75" hidden="false" customHeight="true" outlineLevel="0" collapsed="false">
      <c r="I570" s="28"/>
    </row>
    <row r="571" customFormat="false" ht="15.75" hidden="false" customHeight="true" outlineLevel="0" collapsed="false">
      <c r="I571" s="28"/>
    </row>
    <row r="572" customFormat="false" ht="15.75" hidden="false" customHeight="true" outlineLevel="0" collapsed="false">
      <c r="I572" s="28"/>
    </row>
    <row r="573" customFormat="false" ht="15.75" hidden="false" customHeight="true" outlineLevel="0" collapsed="false">
      <c r="I573" s="28"/>
    </row>
    <row r="574" customFormat="false" ht="15.75" hidden="false" customHeight="true" outlineLevel="0" collapsed="false">
      <c r="I574" s="28"/>
    </row>
    <row r="575" customFormat="false" ht="15.75" hidden="false" customHeight="true" outlineLevel="0" collapsed="false">
      <c r="I575" s="28"/>
    </row>
    <row r="576" customFormat="false" ht="15.75" hidden="false" customHeight="true" outlineLevel="0" collapsed="false">
      <c r="I576" s="28"/>
    </row>
    <row r="577" customFormat="false" ht="15.75" hidden="false" customHeight="true" outlineLevel="0" collapsed="false">
      <c r="I577" s="28"/>
    </row>
    <row r="578" customFormat="false" ht="15.75" hidden="false" customHeight="true" outlineLevel="0" collapsed="false">
      <c r="I578" s="28"/>
    </row>
    <row r="579" customFormat="false" ht="15.75" hidden="false" customHeight="true" outlineLevel="0" collapsed="false">
      <c r="I579" s="28"/>
    </row>
    <row r="580" customFormat="false" ht="15.75" hidden="false" customHeight="true" outlineLevel="0" collapsed="false">
      <c r="I580" s="28"/>
    </row>
    <row r="581" customFormat="false" ht="15.75" hidden="false" customHeight="true" outlineLevel="0" collapsed="false">
      <c r="I581" s="28"/>
    </row>
    <row r="582" customFormat="false" ht="15.75" hidden="false" customHeight="true" outlineLevel="0" collapsed="false">
      <c r="I582" s="28"/>
    </row>
    <row r="583" customFormat="false" ht="15.75" hidden="false" customHeight="true" outlineLevel="0" collapsed="false">
      <c r="I583" s="28"/>
    </row>
    <row r="584" customFormat="false" ht="15.75" hidden="false" customHeight="true" outlineLevel="0" collapsed="false">
      <c r="I584" s="28"/>
    </row>
    <row r="585" customFormat="false" ht="15.75" hidden="false" customHeight="true" outlineLevel="0" collapsed="false">
      <c r="I585" s="28"/>
    </row>
    <row r="586" customFormat="false" ht="15.75" hidden="false" customHeight="true" outlineLevel="0" collapsed="false">
      <c r="I586" s="28"/>
    </row>
    <row r="587" customFormat="false" ht="15.75" hidden="false" customHeight="true" outlineLevel="0" collapsed="false">
      <c r="I587" s="28"/>
    </row>
    <row r="588" customFormat="false" ht="15.75" hidden="false" customHeight="true" outlineLevel="0" collapsed="false">
      <c r="I588" s="28"/>
    </row>
    <row r="589" customFormat="false" ht="15.75" hidden="false" customHeight="true" outlineLevel="0" collapsed="false">
      <c r="I589" s="28"/>
    </row>
    <row r="590" customFormat="false" ht="15.75" hidden="false" customHeight="true" outlineLevel="0" collapsed="false">
      <c r="I590" s="28"/>
    </row>
    <row r="591" customFormat="false" ht="15.75" hidden="false" customHeight="true" outlineLevel="0" collapsed="false">
      <c r="I591" s="28"/>
    </row>
    <row r="592" customFormat="false" ht="15.75" hidden="false" customHeight="true" outlineLevel="0" collapsed="false">
      <c r="I592" s="28"/>
    </row>
    <row r="593" customFormat="false" ht="15.75" hidden="false" customHeight="true" outlineLevel="0" collapsed="false">
      <c r="I593" s="28"/>
    </row>
    <row r="594" customFormat="false" ht="15.75" hidden="false" customHeight="true" outlineLevel="0" collapsed="false">
      <c r="I594" s="28"/>
    </row>
    <row r="595" customFormat="false" ht="15.75" hidden="false" customHeight="true" outlineLevel="0" collapsed="false">
      <c r="I595" s="28"/>
    </row>
    <row r="596" customFormat="false" ht="15.75" hidden="false" customHeight="true" outlineLevel="0" collapsed="false">
      <c r="I596" s="28"/>
    </row>
    <row r="597" customFormat="false" ht="15.75" hidden="false" customHeight="true" outlineLevel="0" collapsed="false">
      <c r="I597" s="28"/>
    </row>
    <row r="598" customFormat="false" ht="15.75" hidden="false" customHeight="true" outlineLevel="0" collapsed="false">
      <c r="I598" s="28"/>
    </row>
    <row r="599" customFormat="false" ht="15.75" hidden="false" customHeight="true" outlineLevel="0" collapsed="false">
      <c r="I599" s="28"/>
    </row>
    <row r="600" customFormat="false" ht="15.75" hidden="false" customHeight="true" outlineLevel="0" collapsed="false">
      <c r="I600" s="28"/>
    </row>
    <row r="601" customFormat="false" ht="15.75" hidden="false" customHeight="true" outlineLevel="0" collapsed="false">
      <c r="I601" s="28"/>
    </row>
    <row r="602" customFormat="false" ht="15.75" hidden="false" customHeight="true" outlineLevel="0" collapsed="false">
      <c r="I602" s="28"/>
    </row>
    <row r="603" customFormat="false" ht="15.75" hidden="false" customHeight="true" outlineLevel="0" collapsed="false">
      <c r="I603" s="28"/>
    </row>
    <row r="604" customFormat="false" ht="15.75" hidden="false" customHeight="true" outlineLevel="0" collapsed="false">
      <c r="I604" s="28"/>
    </row>
    <row r="605" customFormat="false" ht="15.75" hidden="false" customHeight="true" outlineLevel="0" collapsed="false">
      <c r="I605" s="28"/>
    </row>
    <row r="606" customFormat="false" ht="15.75" hidden="false" customHeight="true" outlineLevel="0" collapsed="false">
      <c r="I606" s="28"/>
    </row>
    <row r="607" customFormat="false" ht="15.75" hidden="false" customHeight="true" outlineLevel="0" collapsed="false">
      <c r="I607" s="28"/>
    </row>
    <row r="608" customFormat="false" ht="15.75" hidden="false" customHeight="true" outlineLevel="0" collapsed="false">
      <c r="I608" s="28"/>
    </row>
    <row r="609" customFormat="false" ht="15.75" hidden="false" customHeight="true" outlineLevel="0" collapsed="false">
      <c r="I609" s="28"/>
    </row>
    <row r="610" customFormat="false" ht="15.75" hidden="false" customHeight="true" outlineLevel="0" collapsed="false">
      <c r="I610" s="28"/>
    </row>
    <row r="611" customFormat="false" ht="15.75" hidden="false" customHeight="true" outlineLevel="0" collapsed="false">
      <c r="I611" s="28"/>
    </row>
    <row r="612" customFormat="false" ht="15.75" hidden="false" customHeight="true" outlineLevel="0" collapsed="false">
      <c r="I612" s="28"/>
    </row>
    <row r="613" customFormat="false" ht="15.75" hidden="false" customHeight="true" outlineLevel="0" collapsed="false">
      <c r="I613" s="28"/>
    </row>
    <row r="614" customFormat="false" ht="15.75" hidden="false" customHeight="true" outlineLevel="0" collapsed="false">
      <c r="I614" s="28"/>
    </row>
    <row r="615" customFormat="false" ht="15.75" hidden="false" customHeight="true" outlineLevel="0" collapsed="false">
      <c r="I615" s="28"/>
    </row>
    <row r="616" customFormat="false" ht="15.75" hidden="false" customHeight="true" outlineLevel="0" collapsed="false">
      <c r="I616" s="28"/>
    </row>
    <row r="617" customFormat="false" ht="15.75" hidden="false" customHeight="true" outlineLevel="0" collapsed="false">
      <c r="I617" s="28"/>
    </row>
    <row r="618" customFormat="false" ht="15.75" hidden="false" customHeight="true" outlineLevel="0" collapsed="false">
      <c r="I618" s="28"/>
    </row>
    <row r="619" customFormat="false" ht="15.75" hidden="false" customHeight="true" outlineLevel="0" collapsed="false">
      <c r="I619" s="28"/>
    </row>
    <row r="620" customFormat="false" ht="15.75" hidden="false" customHeight="true" outlineLevel="0" collapsed="false">
      <c r="I620" s="28"/>
    </row>
    <row r="621" customFormat="false" ht="15.75" hidden="false" customHeight="true" outlineLevel="0" collapsed="false">
      <c r="I621" s="28"/>
    </row>
    <row r="622" customFormat="false" ht="15.75" hidden="false" customHeight="true" outlineLevel="0" collapsed="false">
      <c r="I622" s="28"/>
    </row>
    <row r="623" customFormat="false" ht="15.75" hidden="false" customHeight="true" outlineLevel="0" collapsed="false">
      <c r="I623" s="28"/>
    </row>
    <row r="624" customFormat="false" ht="15.75" hidden="false" customHeight="true" outlineLevel="0" collapsed="false">
      <c r="I624" s="28"/>
    </row>
    <row r="625" customFormat="false" ht="15.75" hidden="false" customHeight="true" outlineLevel="0" collapsed="false">
      <c r="I625" s="28"/>
    </row>
    <row r="626" customFormat="false" ht="15.75" hidden="false" customHeight="true" outlineLevel="0" collapsed="false">
      <c r="I626" s="28"/>
    </row>
    <row r="627" customFormat="false" ht="15.75" hidden="false" customHeight="true" outlineLevel="0" collapsed="false">
      <c r="I627" s="28"/>
    </row>
    <row r="628" customFormat="false" ht="15.75" hidden="false" customHeight="true" outlineLevel="0" collapsed="false">
      <c r="I628" s="28"/>
    </row>
    <row r="629" customFormat="false" ht="15.75" hidden="false" customHeight="true" outlineLevel="0" collapsed="false">
      <c r="I629" s="28"/>
    </row>
    <row r="630" customFormat="false" ht="15.75" hidden="false" customHeight="true" outlineLevel="0" collapsed="false">
      <c r="I630" s="28"/>
    </row>
    <row r="631" customFormat="false" ht="15.75" hidden="false" customHeight="true" outlineLevel="0" collapsed="false">
      <c r="I631" s="28"/>
    </row>
    <row r="632" customFormat="false" ht="15.75" hidden="false" customHeight="true" outlineLevel="0" collapsed="false">
      <c r="I632" s="28"/>
    </row>
    <row r="633" customFormat="false" ht="15.75" hidden="false" customHeight="true" outlineLevel="0" collapsed="false">
      <c r="I633" s="28"/>
    </row>
    <row r="634" customFormat="false" ht="15.75" hidden="false" customHeight="true" outlineLevel="0" collapsed="false">
      <c r="I634" s="28"/>
    </row>
    <row r="635" customFormat="false" ht="15.75" hidden="false" customHeight="true" outlineLevel="0" collapsed="false">
      <c r="I635" s="28"/>
    </row>
    <row r="636" customFormat="false" ht="15.75" hidden="false" customHeight="true" outlineLevel="0" collapsed="false">
      <c r="I636" s="28"/>
    </row>
    <row r="637" customFormat="false" ht="15.75" hidden="false" customHeight="true" outlineLevel="0" collapsed="false">
      <c r="I637" s="28"/>
    </row>
    <row r="638" customFormat="false" ht="15.75" hidden="false" customHeight="true" outlineLevel="0" collapsed="false">
      <c r="I638" s="28"/>
    </row>
    <row r="639" customFormat="false" ht="15.75" hidden="false" customHeight="true" outlineLevel="0" collapsed="false">
      <c r="I639" s="28"/>
    </row>
    <row r="640" customFormat="false" ht="15.75" hidden="false" customHeight="true" outlineLevel="0" collapsed="false">
      <c r="I640" s="28"/>
    </row>
    <row r="641" customFormat="false" ht="15.75" hidden="false" customHeight="true" outlineLevel="0" collapsed="false">
      <c r="I641" s="28"/>
    </row>
    <row r="642" customFormat="false" ht="15.75" hidden="false" customHeight="true" outlineLevel="0" collapsed="false">
      <c r="I642" s="28"/>
    </row>
    <row r="643" customFormat="false" ht="15.75" hidden="false" customHeight="true" outlineLevel="0" collapsed="false">
      <c r="I643" s="28"/>
    </row>
    <row r="644" customFormat="false" ht="15.75" hidden="false" customHeight="true" outlineLevel="0" collapsed="false">
      <c r="I644" s="28"/>
    </row>
    <row r="645" customFormat="false" ht="15.75" hidden="false" customHeight="true" outlineLevel="0" collapsed="false">
      <c r="I645" s="28"/>
    </row>
    <row r="646" customFormat="false" ht="15.75" hidden="false" customHeight="true" outlineLevel="0" collapsed="false">
      <c r="I646" s="28"/>
    </row>
    <row r="647" customFormat="false" ht="15.75" hidden="false" customHeight="true" outlineLevel="0" collapsed="false">
      <c r="I647" s="28"/>
    </row>
    <row r="648" customFormat="false" ht="15.75" hidden="false" customHeight="true" outlineLevel="0" collapsed="false">
      <c r="I648" s="28"/>
    </row>
    <row r="649" customFormat="false" ht="15.75" hidden="false" customHeight="true" outlineLevel="0" collapsed="false">
      <c r="I649" s="28"/>
    </row>
    <row r="650" customFormat="false" ht="15.75" hidden="false" customHeight="true" outlineLevel="0" collapsed="false">
      <c r="I650" s="28"/>
    </row>
    <row r="651" customFormat="false" ht="15.75" hidden="false" customHeight="true" outlineLevel="0" collapsed="false">
      <c r="I651" s="28"/>
    </row>
    <row r="652" customFormat="false" ht="15.75" hidden="false" customHeight="true" outlineLevel="0" collapsed="false">
      <c r="I652" s="28"/>
    </row>
    <row r="653" customFormat="false" ht="15.75" hidden="false" customHeight="true" outlineLevel="0" collapsed="false">
      <c r="I653" s="28"/>
    </row>
    <row r="654" customFormat="false" ht="15.75" hidden="false" customHeight="true" outlineLevel="0" collapsed="false">
      <c r="I654" s="28"/>
    </row>
    <row r="655" customFormat="false" ht="15.75" hidden="false" customHeight="true" outlineLevel="0" collapsed="false">
      <c r="I655" s="28"/>
    </row>
    <row r="656" customFormat="false" ht="15.75" hidden="false" customHeight="true" outlineLevel="0" collapsed="false">
      <c r="I656" s="28"/>
    </row>
    <row r="657" customFormat="false" ht="15.75" hidden="false" customHeight="true" outlineLevel="0" collapsed="false">
      <c r="I657" s="28"/>
    </row>
    <row r="658" customFormat="false" ht="15.75" hidden="false" customHeight="true" outlineLevel="0" collapsed="false">
      <c r="I658" s="28"/>
    </row>
    <row r="659" customFormat="false" ht="15.75" hidden="false" customHeight="true" outlineLevel="0" collapsed="false">
      <c r="I659" s="28"/>
    </row>
    <row r="660" customFormat="false" ht="15.75" hidden="false" customHeight="true" outlineLevel="0" collapsed="false">
      <c r="I660" s="28"/>
    </row>
    <row r="661" customFormat="false" ht="15.75" hidden="false" customHeight="true" outlineLevel="0" collapsed="false">
      <c r="I661" s="28"/>
    </row>
    <row r="662" customFormat="false" ht="15.75" hidden="false" customHeight="true" outlineLevel="0" collapsed="false">
      <c r="I662" s="28"/>
    </row>
    <row r="663" customFormat="false" ht="15.75" hidden="false" customHeight="true" outlineLevel="0" collapsed="false">
      <c r="I663" s="28"/>
    </row>
    <row r="664" customFormat="false" ht="15.75" hidden="false" customHeight="true" outlineLevel="0" collapsed="false">
      <c r="I664" s="28"/>
    </row>
    <row r="665" customFormat="false" ht="15.75" hidden="false" customHeight="true" outlineLevel="0" collapsed="false">
      <c r="I665" s="28"/>
    </row>
    <row r="666" customFormat="false" ht="15.75" hidden="false" customHeight="true" outlineLevel="0" collapsed="false">
      <c r="I666" s="28"/>
    </row>
    <row r="667" customFormat="false" ht="15.75" hidden="false" customHeight="true" outlineLevel="0" collapsed="false">
      <c r="I667" s="28"/>
    </row>
    <row r="668" customFormat="false" ht="15.75" hidden="false" customHeight="true" outlineLevel="0" collapsed="false">
      <c r="I668" s="28"/>
    </row>
    <row r="669" customFormat="false" ht="15.75" hidden="false" customHeight="true" outlineLevel="0" collapsed="false">
      <c r="I669" s="28"/>
    </row>
    <row r="670" customFormat="false" ht="15.75" hidden="false" customHeight="true" outlineLevel="0" collapsed="false">
      <c r="I670" s="28"/>
    </row>
    <row r="671" customFormat="false" ht="15.75" hidden="false" customHeight="true" outlineLevel="0" collapsed="false">
      <c r="I671" s="28"/>
    </row>
    <row r="672" customFormat="false" ht="15.75" hidden="false" customHeight="true" outlineLevel="0" collapsed="false">
      <c r="I672" s="28"/>
    </row>
    <row r="673" customFormat="false" ht="15.75" hidden="false" customHeight="true" outlineLevel="0" collapsed="false">
      <c r="I673" s="28"/>
    </row>
    <row r="674" customFormat="false" ht="15.75" hidden="false" customHeight="true" outlineLevel="0" collapsed="false">
      <c r="I674" s="28"/>
    </row>
    <row r="675" customFormat="false" ht="15.75" hidden="false" customHeight="true" outlineLevel="0" collapsed="false">
      <c r="I675" s="28"/>
    </row>
    <row r="676" customFormat="false" ht="15.75" hidden="false" customHeight="true" outlineLevel="0" collapsed="false">
      <c r="I676" s="28"/>
    </row>
    <row r="677" customFormat="false" ht="15.75" hidden="false" customHeight="true" outlineLevel="0" collapsed="false">
      <c r="I677" s="28"/>
    </row>
    <row r="678" customFormat="false" ht="15.75" hidden="false" customHeight="true" outlineLevel="0" collapsed="false">
      <c r="I678" s="28"/>
    </row>
    <row r="679" customFormat="false" ht="15.75" hidden="false" customHeight="true" outlineLevel="0" collapsed="false">
      <c r="I679" s="28"/>
    </row>
    <row r="680" customFormat="false" ht="15.75" hidden="false" customHeight="true" outlineLevel="0" collapsed="false">
      <c r="I680" s="28"/>
    </row>
    <row r="681" customFormat="false" ht="15.75" hidden="false" customHeight="true" outlineLevel="0" collapsed="false">
      <c r="I681" s="28"/>
    </row>
    <row r="682" customFormat="false" ht="15.75" hidden="false" customHeight="true" outlineLevel="0" collapsed="false">
      <c r="I682" s="28"/>
    </row>
    <row r="683" customFormat="false" ht="15.75" hidden="false" customHeight="true" outlineLevel="0" collapsed="false">
      <c r="I683" s="28"/>
    </row>
    <row r="684" customFormat="false" ht="15.75" hidden="false" customHeight="true" outlineLevel="0" collapsed="false">
      <c r="I684" s="28"/>
    </row>
    <row r="685" customFormat="false" ht="15.75" hidden="false" customHeight="true" outlineLevel="0" collapsed="false">
      <c r="I685" s="28"/>
    </row>
    <row r="686" customFormat="false" ht="15.75" hidden="false" customHeight="true" outlineLevel="0" collapsed="false">
      <c r="I686" s="28"/>
    </row>
    <row r="687" customFormat="false" ht="15.75" hidden="false" customHeight="true" outlineLevel="0" collapsed="false">
      <c r="I687" s="28"/>
    </row>
    <row r="688" customFormat="false" ht="15.75" hidden="false" customHeight="true" outlineLevel="0" collapsed="false">
      <c r="I688" s="28"/>
    </row>
    <row r="689" customFormat="false" ht="15.75" hidden="false" customHeight="true" outlineLevel="0" collapsed="false">
      <c r="I689" s="28"/>
    </row>
    <row r="690" customFormat="false" ht="15.75" hidden="false" customHeight="true" outlineLevel="0" collapsed="false">
      <c r="I690" s="28"/>
    </row>
    <row r="691" customFormat="false" ht="15.75" hidden="false" customHeight="true" outlineLevel="0" collapsed="false">
      <c r="I691" s="28"/>
    </row>
    <row r="692" customFormat="false" ht="15.75" hidden="false" customHeight="true" outlineLevel="0" collapsed="false">
      <c r="I692" s="28"/>
    </row>
    <row r="693" customFormat="false" ht="15.75" hidden="false" customHeight="true" outlineLevel="0" collapsed="false">
      <c r="I693" s="28"/>
    </row>
    <row r="694" customFormat="false" ht="15.75" hidden="false" customHeight="true" outlineLevel="0" collapsed="false">
      <c r="I694" s="28"/>
    </row>
    <row r="695" customFormat="false" ht="15.75" hidden="false" customHeight="true" outlineLevel="0" collapsed="false">
      <c r="I695" s="28"/>
    </row>
    <row r="696" customFormat="false" ht="15.75" hidden="false" customHeight="true" outlineLevel="0" collapsed="false">
      <c r="I696" s="28"/>
    </row>
    <row r="697" customFormat="false" ht="15.75" hidden="false" customHeight="true" outlineLevel="0" collapsed="false">
      <c r="I697" s="28"/>
    </row>
    <row r="698" customFormat="false" ht="15.75" hidden="false" customHeight="true" outlineLevel="0" collapsed="false">
      <c r="I698" s="28"/>
    </row>
    <row r="699" customFormat="false" ht="15.75" hidden="false" customHeight="true" outlineLevel="0" collapsed="false">
      <c r="I699" s="28"/>
    </row>
    <row r="700" customFormat="false" ht="15.75" hidden="false" customHeight="true" outlineLevel="0" collapsed="false">
      <c r="I700" s="28"/>
    </row>
    <row r="701" customFormat="false" ht="15.75" hidden="false" customHeight="true" outlineLevel="0" collapsed="false">
      <c r="I701" s="28"/>
    </row>
    <row r="702" customFormat="false" ht="15.75" hidden="false" customHeight="true" outlineLevel="0" collapsed="false">
      <c r="I702" s="28"/>
    </row>
    <row r="703" customFormat="false" ht="15.75" hidden="false" customHeight="true" outlineLevel="0" collapsed="false">
      <c r="I703" s="28"/>
    </row>
    <row r="704" customFormat="false" ht="15.75" hidden="false" customHeight="true" outlineLevel="0" collapsed="false">
      <c r="I704" s="28"/>
    </row>
    <row r="705" customFormat="false" ht="15.75" hidden="false" customHeight="true" outlineLevel="0" collapsed="false">
      <c r="I705" s="28"/>
    </row>
    <row r="706" customFormat="false" ht="15.75" hidden="false" customHeight="true" outlineLevel="0" collapsed="false">
      <c r="I706" s="28"/>
    </row>
    <row r="707" customFormat="false" ht="15.75" hidden="false" customHeight="true" outlineLevel="0" collapsed="false">
      <c r="I707" s="28"/>
    </row>
    <row r="708" customFormat="false" ht="15.75" hidden="false" customHeight="true" outlineLevel="0" collapsed="false">
      <c r="I708" s="28"/>
    </row>
    <row r="709" customFormat="false" ht="15.75" hidden="false" customHeight="true" outlineLevel="0" collapsed="false">
      <c r="I709" s="28"/>
    </row>
    <row r="710" customFormat="false" ht="15.75" hidden="false" customHeight="true" outlineLevel="0" collapsed="false">
      <c r="I710" s="28"/>
    </row>
    <row r="711" customFormat="false" ht="15.75" hidden="false" customHeight="true" outlineLevel="0" collapsed="false">
      <c r="I711" s="28"/>
    </row>
    <row r="712" customFormat="false" ht="15.75" hidden="false" customHeight="true" outlineLevel="0" collapsed="false">
      <c r="I712" s="28"/>
    </row>
    <row r="713" customFormat="false" ht="15.75" hidden="false" customHeight="true" outlineLevel="0" collapsed="false">
      <c r="I713" s="28"/>
    </row>
    <row r="714" customFormat="false" ht="15.75" hidden="false" customHeight="true" outlineLevel="0" collapsed="false">
      <c r="I714" s="28"/>
    </row>
    <row r="715" customFormat="false" ht="15.75" hidden="false" customHeight="true" outlineLevel="0" collapsed="false">
      <c r="I715" s="28"/>
    </row>
    <row r="716" customFormat="false" ht="15.75" hidden="false" customHeight="true" outlineLevel="0" collapsed="false">
      <c r="I716" s="28"/>
    </row>
    <row r="717" customFormat="false" ht="15.75" hidden="false" customHeight="true" outlineLevel="0" collapsed="false">
      <c r="I717" s="28"/>
    </row>
    <row r="718" customFormat="false" ht="15.75" hidden="false" customHeight="true" outlineLevel="0" collapsed="false">
      <c r="I718" s="28"/>
    </row>
    <row r="719" customFormat="false" ht="15.75" hidden="false" customHeight="true" outlineLevel="0" collapsed="false">
      <c r="I719" s="28"/>
    </row>
    <row r="720" customFormat="false" ht="15.75" hidden="false" customHeight="true" outlineLevel="0" collapsed="false">
      <c r="I720" s="28"/>
    </row>
    <row r="721" customFormat="false" ht="15.75" hidden="false" customHeight="true" outlineLevel="0" collapsed="false">
      <c r="I721" s="28"/>
    </row>
    <row r="722" customFormat="false" ht="15.75" hidden="false" customHeight="true" outlineLevel="0" collapsed="false">
      <c r="I722" s="28"/>
    </row>
    <row r="723" customFormat="false" ht="15.75" hidden="false" customHeight="true" outlineLevel="0" collapsed="false">
      <c r="I723" s="28"/>
    </row>
    <row r="724" customFormat="false" ht="15.75" hidden="false" customHeight="true" outlineLevel="0" collapsed="false">
      <c r="I724" s="28"/>
    </row>
    <row r="725" customFormat="false" ht="15.75" hidden="false" customHeight="true" outlineLevel="0" collapsed="false">
      <c r="I725" s="28"/>
    </row>
    <row r="726" customFormat="false" ht="15.75" hidden="false" customHeight="true" outlineLevel="0" collapsed="false">
      <c r="I726" s="28"/>
    </row>
    <row r="727" customFormat="false" ht="15.75" hidden="false" customHeight="true" outlineLevel="0" collapsed="false">
      <c r="I727" s="28"/>
    </row>
    <row r="728" customFormat="false" ht="15.75" hidden="false" customHeight="true" outlineLevel="0" collapsed="false">
      <c r="I728" s="28"/>
    </row>
    <row r="729" customFormat="false" ht="15.75" hidden="false" customHeight="true" outlineLevel="0" collapsed="false">
      <c r="I729" s="28"/>
    </row>
    <row r="730" customFormat="false" ht="15.75" hidden="false" customHeight="true" outlineLevel="0" collapsed="false">
      <c r="I730" s="28"/>
    </row>
    <row r="731" customFormat="false" ht="15.75" hidden="false" customHeight="true" outlineLevel="0" collapsed="false">
      <c r="I731" s="28"/>
    </row>
    <row r="732" customFormat="false" ht="15.75" hidden="false" customHeight="true" outlineLevel="0" collapsed="false">
      <c r="I732" s="28"/>
    </row>
    <row r="733" customFormat="false" ht="15.75" hidden="false" customHeight="true" outlineLevel="0" collapsed="false">
      <c r="I733" s="28"/>
    </row>
    <row r="734" customFormat="false" ht="15.75" hidden="false" customHeight="true" outlineLevel="0" collapsed="false">
      <c r="I734" s="28"/>
    </row>
    <row r="735" customFormat="false" ht="15.75" hidden="false" customHeight="true" outlineLevel="0" collapsed="false">
      <c r="I735" s="28"/>
    </row>
    <row r="736" customFormat="false" ht="15.75" hidden="false" customHeight="true" outlineLevel="0" collapsed="false">
      <c r="I736" s="28"/>
    </row>
    <row r="737" customFormat="false" ht="15.75" hidden="false" customHeight="true" outlineLevel="0" collapsed="false">
      <c r="I737" s="28"/>
    </row>
    <row r="738" customFormat="false" ht="15.75" hidden="false" customHeight="true" outlineLevel="0" collapsed="false">
      <c r="I738" s="28"/>
    </row>
    <row r="739" customFormat="false" ht="15.75" hidden="false" customHeight="true" outlineLevel="0" collapsed="false">
      <c r="I739" s="28"/>
    </row>
    <row r="740" customFormat="false" ht="15.75" hidden="false" customHeight="true" outlineLevel="0" collapsed="false">
      <c r="I740" s="28"/>
    </row>
    <row r="741" customFormat="false" ht="15.75" hidden="false" customHeight="true" outlineLevel="0" collapsed="false">
      <c r="I741" s="28"/>
    </row>
    <row r="742" customFormat="false" ht="15.75" hidden="false" customHeight="true" outlineLevel="0" collapsed="false">
      <c r="I742" s="28"/>
    </row>
    <row r="743" customFormat="false" ht="15.75" hidden="false" customHeight="true" outlineLevel="0" collapsed="false">
      <c r="I743" s="28"/>
    </row>
    <row r="744" customFormat="false" ht="15.75" hidden="false" customHeight="true" outlineLevel="0" collapsed="false">
      <c r="I744" s="28"/>
    </row>
    <row r="745" customFormat="false" ht="15.75" hidden="false" customHeight="true" outlineLevel="0" collapsed="false">
      <c r="I745" s="28"/>
    </row>
    <row r="746" customFormat="false" ht="15.75" hidden="false" customHeight="true" outlineLevel="0" collapsed="false">
      <c r="I746" s="28"/>
    </row>
    <row r="747" customFormat="false" ht="15.75" hidden="false" customHeight="true" outlineLevel="0" collapsed="false">
      <c r="I747" s="28"/>
    </row>
    <row r="748" customFormat="false" ht="15.75" hidden="false" customHeight="true" outlineLevel="0" collapsed="false">
      <c r="I748" s="28"/>
    </row>
    <row r="749" customFormat="false" ht="15.75" hidden="false" customHeight="true" outlineLevel="0" collapsed="false">
      <c r="I749" s="28"/>
    </row>
    <row r="750" customFormat="false" ht="15.75" hidden="false" customHeight="true" outlineLevel="0" collapsed="false">
      <c r="I750" s="28"/>
    </row>
    <row r="751" customFormat="false" ht="15.75" hidden="false" customHeight="true" outlineLevel="0" collapsed="false">
      <c r="I751" s="28"/>
    </row>
    <row r="752" customFormat="false" ht="15.75" hidden="false" customHeight="true" outlineLevel="0" collapsed="false">
      <c r="I752" s="28"/>
    </row>
    <row r="753" customFormat="false" ht="15.75" hidden="false" customHeight="true" outlineLevel="0" collapsed="false">
      <c r="I753" s="28"/>
    </row>
    <row r="754" customFormat="false" ht="15.75" hidden="false" customHeight="true" outlineLevel="0" collapsed="false">
      <c r="I754" s="28"/>
    </row>
    <row r="755" customFormat="false" ht="15.75" hidden="false" customHeight="true" outlineLevel="0" collapsed="false">
      <c r="I755" s="28"/>
    </row>
    <row r="756" customFormat="false" ht="15.75" hidden="false" customHeight="true" outlineLevel="0" collapsed="false">
      <c r="I756" s="28"/>
    </row>
    <row r="757" customFormat="false" ht="15.75" hidden="false" customHeight="true" outlineLevel="0" collapsed="false">
      <c r="I757" s="28"/>
    </row>
    <row r="758" customFormat="false" ht="15.75" hidden="false" customHeight="true" outlineLevel="0" collapsed="false">
      <c r="I758" s="28"/>
    </row>
    <row r="759" customFormat="false" ht="15.75" hidden="false" customHeight="true" outlineLevel="0" collapsed="false">
      <c r="I759" s="28"/>
    </row>
    <row r="760" customFormat="false" ht="15.75" hidden="false" customHeight="true" outlineLevel="0" collapsed="false">
      <c r="I760" s="28"/>
    </row>
    <row r="761" customFormat="false" ht="15.75" hidden="false" customHeight="true" outlineLevel="0" collapsed="false">
      <c r="I761" s="28"/>
    </row>
    <row r="762" customFormat="false" ht="15.75" hidden="false" customHeight="true" outlineLevel="0" collapsed="false">
      <c r="I762" s="28"/>
    </row>
    <row r="763" customFormat="false" ht="15.75" hidden="false" customHeight="true" outlineLevel="0" collapsed="false">
      <c r="I763" s="28"/>
    </row>
    <row r="764" customFormat="false" ht="15.75" hidden="false" customHeight="true" outlineLevel="0" collapsed="false">
      <c r="I764" s="28"/>
    </row>
    <row r="765" customFormat="false" ht="15.75" hidden="false" customHeight="true" outlineLevel="0" collapsed="false">
      <c r="I765" s="28"/>
    </row>
    <row r="766" customFormat="false" ht="15.75" hidden="false" customHeight="true" outlineLevel="0" collapsed="false">
      <c r="I766" s="28"/>
    </row>
    <row r="767" customFormat="false" ht="15.75" hidden="false" customHeight="true" outlineLevel="0" collapsed="false">
      <c r="I767" s="28"/>
    </row>
    <row r="768" customFormat="false" ht="15.75" hidden="false" customHeight="true" outlineLevel="0" collapsed="false">
      <c r="I768" s="28"/>
    </row>
    <row r="769" customFormat="false" ht="15.75" hidden="false" customHeight="true" outlineLevel="0" collapsed="false">
      <c r="I769" s="28"/>
    </row>
    <row r="770" customFormat="false" ht="15.75" hidden="false" customHeight="true" outlineLevel="0" collapsed="false">
      <c r="I770" s="28"/>
    </row>
    <row r="771" customFormat="false" ht="15.75" hidden="false" customHeight="true" outlineLevel="0" collapsed="false">
      <c r="I771" s="28"/>
    </row>
    <row r="772" customFormat="false" ht="15.75" hidden="false" customHeight="true" outlineLevel="0" collapsed="false">
      <c r="I772" s="28"/>
    </row>
    <row r="773" customFormat="false" ht="15.75" hidden="false" customHeight="true" outlineLevel="0" collapsed="false">
      <c r="I773" s="28"/>
    </row>
    <row r="774" customFormat="false" ht="15.75" hidden="false" customHeight="true" outlineLevel="0" collapsed="false">
      <c r="I774" s="28"/>
    </row>
    <row r="775" customFormat="false" ht="15.75" hidden="false" customHeight="true" outlineLevel="0" collapsed="false">
      <c r="I775" s="28"/>
    </row>
    <row r="776" customFormat="false" ht="15.75" hidden="false" customHeight="true" outlineLevel="0" collapsed="false">
      <c r="I776" s="28"/>
    </row>
    <row r="777" customFormat="false" ht="15.75" hidden="false" customHeight="true" outlineLevel="0" collapsed="false">
      <c r="I777" s="28"/>
    </row>
    <row r="778" customFormat="false" ht="15.75" hidden="false" customHeight="true" outlineLevel="0" collapsed="false">
      <c r="I778" s="28"/>
    </row>
    <row r="779" customFormat="false" ht="15.75" hidden="false" customHeight="true" outlineLevel="0" collapsed="false">
      <c r="I779" s="28"/>
    </row>
    <row r="780" customFormat="false" ht="15.75" hidden="false" customHeight="true" outlineLevel="0" collapsed="false">
      <c r="I780" s="28"/>
    </row>
    <row r="781" customFormat="false" ht="15.75" hidden="false" customHeight="true" outlineLevel="0" collapsed="false">
      <c r="I781" s="28"/>
    </row>
    <row r="782" customFormat="false" ht="15.75" hidden="false" customHeight="true" outlineLevel="0" collapsed="false">
      <c r="I782" s="28"/>
    </row>
    <row r="783" customFormat="false" ht="15.75" hidden="false" customHeight="true" outlineLevel="0" collapsed="false">
      <c r="I783" s="28"/>
    </row>
    <row r="784" customFormat="false" ht="15.75" hidden="false" customHeight="true" outlineLevel="0" collapsed="false">
      <c r="I784" s="28"/>
    </row>
    <row r="785" customFormat="false" ht="15.75" hidden="false" customHeight="true" outlineLevel="0" collapsed="false">
      <c r="I785" s="28"/>
    </row>
    <row r="786" customFormat="false" ht="15.75" hidden="false" customHeight="true" outlineLevel="0" collapsed="false">
      <c r="I786" s="28"/>
    </row>
    <row r="787" customFormat="false" ht="15.75" hidden="false" customHeight="true" outlineLevel="0" collapsed="false">
      <c r="I787" s="28"/>
    </row>
    <row r="788" customFormat="false" ht="15.75" hidden="false" customHeight="true" outlineLevel="0" collapsed="false">
      <c r="I788" s="28"/>
    </row>
    <row r="789" customFormat="false" ht="15.75" hidden="false" customHeight="true" outlineLevel="0" collapsed="false">
      <c r="I789" s="28"/>
    </row>
    <row r="790" customFormat="false" ht="15.75" hidden="false" customHeight="true" outlineLevel="0" collapsed="false">
      <c r="I790" s="28"/>
    </row>
    <row r="791" customFormat="false" ht="15.75" hidden="false" customHeight="true" outlineLevel="0" collapsed="false">
      <c r="I791" s="28"/>
    </row>
    <row r="792" customFormat="false" ht="15.75" hidden="false" customHeight="true" outlineLevel="0" collapsed="false">
      <c r="I792" s="28"/>
    </row>
    <row r="793" customFormat="false" ht="15.75" hidden="false" customHeight="true" outlineLevel="0" collapsed="false">
      <c r="I793" s="28"/>
    </row>
    <row r="794" customFormat="false" ht="15.75" hidden="false" customHeight="true" outlineLevel="0" collapsed="false">
      <c r="I794" s="28"/>
    </row>
    <row r="795" customFormat="false" ht="15.75" hidden="false" customHeight="true" outlineLevel="0" collapsed="false">
      <c r="I795" s="28"/>
    </row>
    <row r="796" customFormat="false" ht="15.75" hidden="false" customHeight="true" outlineLevel="0" collapsed="false">
      <c r="I796" s="28"/>
    </row>
    <row r="797" customFormat="false" ht="15.75" hidden="false" customHeight="true" outlineLevel="0" collapsed="false">
      <c r="I797" s="28"/>
    </row>
    <row r="798" customFormat="false" ht="15.75" hidden="false" customHeight="true" outlineLevel="0" collapsed="false">
      <c r="I798" s="28"/>
    </row>
    <row r="799" customFormat="false" ht="15.75" hidden="false" customHeight="true" outlineLevel="0" collapsed="false">
      <c r="I799" s="28"/>
    </row>
    <row r="800" customFormat="false" ht="15.75" hidden="false" customHeight="true" outlineLevel="0" collapsed="false">
      <c r="I800" s="28"/>
    </row>
    <row r="801" customFormat="false" ht="15.75" hidden="false" customHeight="true" outlineLevel="0" collapsed="false">
      <c r="I801" s="28"/>
    </row>
    <row r="802" customFormat="false" ht="15.75" hidden="false" customHeight="true" outlineLevel="0" collapsed="false">
      <c r="I802" s="28"/>
    </row>
    <row r="803" customFormat="false" ht="15.75" hidden="false" customHeight="true" outlineLevel="0" collapsed="false">
      <c r="I803" s="28"/>
    </row>
    <row r="804" customFormat="false" ht="15.75" hidden="false" customHeight="true" outlineLevel="0" collapsed="false">
      <c r="I804" s="28"/>
    </row>
    <row r="805" customFormat="false" ht="15.75" hidden="false" customHeight="true" outlineLevel="0" collapsed="false">
      <c r="I805" s="28"/>
    </row>
    <row r="806" customFormat="false" ht="15.75" hidden="false" customHeight="true" outlineLevel="0" collapsed="false">
      <c r="I806" s="28"/>
    </row>
    <row r="807" customFormat="false" ht="15.75" hidden="false" customHeight="true" outlineLevel="0" collapsed="false">
      <c r="I807" s="28"/>
    </row>
    <row r="808" customFormat="false" ht="15.75" hidden="false" customHeight="true" outlineLevel="0" collapsed="false">
      <c r="I808" s="28"/>
    </row>
    <row r="809" customFormat="false" ht="15.75" hidden="false" customHeight="true" outlineLevel="0" collapsed="false">
      <c r="I809" s="28"/>
    </row>
    <row r="810" customFormat="false" ht="15.75" hidden="false" customHeight="true" outlineLevel="0" collapsed="false">
      <c r="I810" s="28"/>
    </row>
    <row r="811" customFormat="false" ht="15.75" hidden="false" customHeight="true" outlineLevel="0" collapsed="false">
      <c r="I811" s="28"/>
    </row>
    <row r="812" customFormat="false" ht="15.75" hidden="false" customHeight="true" outlineLevel="0" collapsed="false">
      <c r="I812" s="28"/>
    </row>
    <row r="813" customFormat="false" ht="15.75" hidden="false" customHeight="true" outlineLevel="0" collapsed="false">
      <c r="I813" s="28"/>
    </row>
    <row r="814" customFormat="false" ht="15.75" hidden="false" customHeight="true" outlineLevel="0" collapsed="false">
      <c r="I814" s="28"/>
    </row>
    <row r="815" customFormat="false" ht="15.75" hidden="false" customHeight="true" outlineLevel="0" collapsed="false">
      <c r="I815" s="28"/>
    </row>
    <row r="816" customFormat="false" ht="15.75" hidden="false" customHeight="true" outlineLevel="0" collapsed="false">
      <c r="I816" s="28"/>
    </row>
    <row r="817" customFormat="false" ht="15.75" hidden="false" customHeight="true" outlineLevel="0" collapsed="false">
      <c r="I817" s="28"/>
    </row>
    <row r="818" customFormat="false" ht="15.75" hidden="false" customHeight="true" outlineLevel="0" collapsed="false">
      <c r="I818" s="28"/>
    </row>
    <row r="819" customFormat="false" ht="15.75" hidden="false" customHeight="true" outlineLevel="0" collapsed="false">
      <c r="I819" s="28"/>
    </row>
    <row r="820" customFormat="false" ht="15.75" hidden="false" customHeight="true" outlineLevel="0" collapsed="false">
      <c r="I820" s="28"/>
    </row>
    <row r="821" customFormat="false" ht="15.75" hidden="false" customHeight="true" outlineLevel="0" collapsed="false">
      <c r="I821" s="28"/>
    </row>
    <row r="822" customFormat="false" ht="15.75" hidden="false" customHeight="true" outlineLevel="0" collapsed="false">
      <c r="I822" s="28"/>
    </row>
    <row r="823" customFormat="false" ht="15.75" hidden="false" customHeight="true" outlineLevel="0" collapsed="false">
      <c r="I823" s="28"/>
    </row>
    <row r="824" customFormat="false" ht="15.75" hidden="false" customHeight="true" outlineLevel="0" collapsed="false">
      <c r="I824" s="28"/>
    </row>
    <row r="825" customFormat="false" ht="15.75" hidden="false" customHeight="true" outlineLevel="0" collapsed="false">
      <c r="I825" s="28"/>
    </row>
    <row r="826" customFormat="false" ht="15.75" hidden="false" customHeight="true" outlineLevel="0" collapsed="false">
      <c r="I826" s="28"/>
    </row>
    <row r="827" customFormat="false" ht="15.75" hidden="false" customHeight="true" outlineLevel="0" collapsed="false">
      <c r="I827" s="28"/>
    </row>
    <row r="828" customFormat="false" ht="15.75" hidden="false" customHeight="true" outlineLevel="0" collapsed="false">
      <c r="I828" s="28"/>
    </row>
    <row r="829" customFormat="false" ht="15.75" hidden="false" customHeight="true" outlineLevel="0" collapsed="false">
      <c r="I829" s="28"/>
    </row>
    <row r="830" customFormat="false" ht="15.75" hidden="false" customHeight="true" outlineLevel="0" collapsed="false">
      <c r="I830" s="28"/>
    </row>
    <row r="831" customFormat="false" ht="15.75" hidden="false" customHeight="true" outlineLevel="0" collapsed="false">
      <c r="I831" s="28"/>
    </row>
    <row r="832" customFormat="false" ht="15.75" hidden="false" customHeight="true" outlineLevel="0" collapsed="false">
      <c r="I832" s="28"/>
    </row>
    <row r="833" customFormat="false" ht="15.75" hidden="false" customHeight="true" outlineLevel="0" collapsed="false">
      <c r="I833" s="28"/>
    </row>
    <row r="834" customFormat="false" ht="15.75" hidden="false" customHeight="true" outlineLevel="0" collapsed="false">
      <c r="I834" s="28"/>
    </row>
    <row r="835" customFormat="false" ht="15.75" hidden="false" customHeight="true" outlineLevel="0" collapsed="false">
      <c r="I835" s="28"/>
    </row>
    <row r="836" customFormat="false" ht="15.75" hidden="false" customHeight="true" outlineLevel="0" collapsed="false">
      <c r="I836" s="28"/>
    </row>
    <row r="837" customFormat="false" ht="15.75" hidden="false" customHeight="true" outlineLevel="0" collapsed="false">
      <c r="I837" s="28"/>
    </row>
    <row r="838" customFormat="false" ht="15.75" hidden="false" customHeight="true" outlineLevel="0" collapsed="false">
      <c r="I838" s="28"/>
    </row>
    <row r="839" customFormat="false" ht="15.75" hidden="false" customHeight="true" outlineLevel="0" collapsed="false">
      <c r="I839" s="28"/>
    </row>
    <row r="840" customFormat="false" ht="15.75" hidden="false" customHeight="true" outlineLevel="0" collapsed="false">
      <c r="I840" s="28"/>
    </row>
    <row r="841" customFormat="false" ht="15.75" hidden="false" customHeight="true" outlineLevel="0" collapsed="false">
      <c r="I841" s="28"/>
    </row>
    <row r="842" customFormat="false" ht="15.75" hidden="false" customHeight="true" outlineLevel="0" collapsed="false">
      <c r="I842" s="28"/>
    </row>
    <row r="843" customFormat="false" ht="15.75" hidden="false" customHeight="true" outlineLevel="0" collapsed="false">
      <c r="I843" s="28"/>
    </row>
    <row r="844" customFormat="false" ht="15.75" hidden="false" customHeight="true" outlineLevel="0" collapsed="false">
      <c r="I844" s="28"/>
    </row>
    <row r="845" customFormat="false" ht="15.75" hidden="false" customHeight="true" outlineLevel="0" collapsed="false">
      <c r="I845" s="28"/>
    </row>
    <row r="846" customFormat="false" ht="15.75" hidden="false" customHeight="true" outlineLevel="0" collapsed="false">
      <c r="I846" s="28"/>
    </row>
    <row r="847" customFormat="false" ht="15.75" hidden="false" customHeight="true" outlineLevel="0" collapsed="false">
      <c r="I847" s="28"/>
    </row>
    <row r="848" customFormat="false" ht="15.75" hidden="false" customHeight="true" outlineLevel="0" collapsed="false">
      <c r="I848" s="28"/>
    </row>
    <row r="849" customFormat="false" ht="15.75" hidden="false" customHeight="true" outlineLevel="0" collapsed="false">
      <c r="I849" s="28"/>
    </row>
    <row r="850" customFormat="false" ht="15.75" hidden="false" customHeight="true" outlineLevel="0" collapsed="false">
      <c r="I850" s="28"/>
    </row>
    <row r="851" customFormat="false" ht="15.75" hidden="false" customHeight="true" outlineLevel="0" collapsed="false">
      <c r="I851" s="28"/>
    </row>
    <row r="852" customFormat="false" ht="15.75" hidden="false" customHeight="true" outlineLevel="0" collapsed="false">
      <c r="I852" s="28"/>
    </row>
    <row r="853" customFormat="false" ht="15.75" hidden="false" customHeight="true" outlineLevel="0" collapsed="false">
      <c r="I853" s="28"/>
    </row>
    <row r="854" customFormat="false" ht="15.75" hidden="false" customHeight="true" outlineLevel="0" collapsed="false">
      <c r="I854" s="28"/>
    </row>
    <row r="855" customFormat="false" ht="15.75" hidden="false" customHeight="true" outlineLevel="0" collapsed="false">
      <c r="I855" s="28"/>
    </row>
    <row r="856" customFormat="false" ht="15.75" hidden="false" customHeight="true" outlineLevel="0" collapsed="false">
      <c r="I856" s="28"/>
    </row>
    <row r="857" customFormat="false" ht="15.75" hidden="false" customHeight="true" outlineLevel="0" collapsed="false">
      <c r="I857" s="28"/>
    </row>
    <row r="858" customFormat="false" ht="15.75" hidden="false" customHeight="true" outlineLevel="0" collapsed="false">
      <c r="I858" s="28"/>
    </row>
    <row r="859" customFormat="false" ht="15.75" hidden="false" customHeight="true" outlineLevel="0" collapsed="false">
      <c r="I859" s="28"/>
    </row>
    <row r="860" customFormat="false" ht="15.75" hidden="false" customHeight="true" outlineLevel="0" collapsed="false">
      <c r="I860" s="28"/>
    </row>
    <row r="861" customFormat="false" ht="15.75" hidden="false" customHeight="true" outlineLevel="0" collapsed="false">
      <c r="I861" s="28"/>
    </row>
    <row r="862" customFormat="false" ht="15.75" hidden="false" customHeight="true" outlineLevel="0" collapsed="false">
      <c r="I862" s="28"/>
    </row>
    <row r="863" customFormat="false" ht="15.75" hidden="false" customHeight="true" outlineLevel="0" collapsed="false">
      <c r="I863" s="28"/>
    </row>
    <row r="864" customFormat="false" ht="15.75" hidden="false" customHeight="true" outlineLevel="0" collapsed="false">
      <c r="I864" s="28"/>
    </row>
    <row r="865" customFormat="false" ht="15.75" hidden="false" customHeight="true" outlineLevel="0" collapsed="false">
      <c r="I865" s="28"/>
    </row>
    <row r="866" customFormat="false" ht="15.75" hidden="false" customHeight="true" outlineLevel="0" collapsed="false">
      <c r="I866" s="28"/>
    </row>
    <row r="867" customFormat="false" ht="15.75" hidden="false" customHeight="true" outlineLevel="0" collapsed="false">
      <c r="I867" s="28"/>
    </row>
    <row r="868" customFormat="false" ht="15.75" hidden="false" customHeight="true" outlineLevel="0" collapsed="false">
      <c r="I868" s="28"/>
    </row>
    <row r="869" customFormat="false" ht="15.75" hidden="false" customHeight="true" outlineLevel="0" collapsed="false">
      <c r="I869" s="28"/>
    </row>
    <row r="870" customFormat="false" ht="15.75" hidden="false" customHeight="true" outlineLevel="0" collapsed="false">
      <c r="I870" s="28"/>
    </row>
    <row r="871" customFormat="false" ht="15.75" hidden="false" customHeight="true" outlineLevel="0" collapsed="false">
      <c r="I871" s="28"/>
    </row>
    <row r="872" customFormat="false" ht="15.75" hidden="false" customHeight="true" outlineLevel="0" collapsed="false">
      <c r="I872" s="28"/>
    </row>
    <row r="873" customFormat="false" ht="15.75" hidden="false" customHeight="true" outlineLevel="0" collapsed="false">
      <c r="I873" s="28"/>
    </row>
    <row r="874" customFormat="false" ht="15.75" hidden="false" customHeight="true" outlineLevel="0" collapsed="false">
      <c r="I874" s="28"/>
    </row>
    <row r="875" customFormat="false" ht="15.75" hidden="false" customHeight="true" outlineLevel="0" collapsed="false">
      <c r="I875" s="28"/>
    </row>
    <row r="876" customFormat="false" ht="15.75" hidden="false" customHeight="true" outlineLevel="0" collapsed="false">
      <c r="I876" s="28"/>
    </row>
    <row r="877" customFormat="false" ht="15.75" hidden="false" customHeight="true" outlineLevel="0" collapsed="false">
      <c r="I877" s="28"/>
    </row>
    <row r="878" customFormat="false" ht="15.75" hidden="false" customHeight="true" outlineLevel="0" collapsed="false">
      <c r="I878" s="28"/>
    </row>
    <row r="879" customFormat="false" ht="15.75" hidden="false" customHeight="true" outlineLevel="0" collapsed="false">
      <c r="I879" s="28"/>
    </row>
    <row r="880" customFormat="false" ht="15.75" hidden="false" customHeight="true" outlineLevel="0" collapsed="false">
      <c r="I880" s="28"/>
    </row>
    <row r="881" customFormat="false" ht="15.75" hidden="false" customHeight="true" outlineLevel="0" collapsed="false">
      <c r="I881" s="28"/>
    </row>
    <row r="882" customFormat="false" ht="15.75" hidden="false" customHeight="true" outlineLevel="0" collapsed="false">
      <c r="I882" s="28"/>
    </row>
    <row r="883" customFormat="false" ht="15.75" hidden="false" customHeight="true" outlineLevel="0" collapsed="false">
      <c r="I883" s="28"/>
    </row>
    <row r="884" customFormat="false" ht="15.75" hidden="false" customHeight="true" outlineLevel="0" collapsed="false">
      <c r="I884" s="28"/>
    </row>
    <row r="885" customFormat="false" ht="15.75" hidden="false" customHeight="true" outlineLevel="0" collapsed="false">
      <c r="I885" s="28"/>
    </row>
    <row r="886" customFormat="false" ht="15.75" hidden="false" customHeight="true" outlineLevel="0" collapsed="false">
      <c r="I886" s="28"/>
    </row>
    <row r="887" customFormat="false" ht="15.75" hidden="false" customHeight="true" outlineLevel="0" collapsed="false">
      <c r="I887" s="28"/>
    </row>
    <row r="888" customFormat="false" ht="15.75" hidden="false" customHeight="true" outlineLevel="0" collapsed="false">
      <c r="I888" s="28"/>
    </row>
    <row r="889" customFormat="false" ht="15.75" hidden="false" customHeight="true" outlineLevel="0" collapsed="false">
      <c r="I889" s="28"/>
    </row>
    <row r="890" customFormat="false" ht="15.75" hidden="false" customHeight="true" outlineLevel="0" collapsed="false">
      <c r="I890" s="28"/>
    </row>
    <row r="891" customFormat="false" ht="15.75" hidden="false" customHeight="true" outlineLevel="0" collapsed="false">
      <c r="I891" s="28"/>
    </row>
    <row r="892" customFormat="false" ht="15.75" hidden="false" customHeight="true" outlineLevel="0" collapsed="false">
      <c r="I892" s="28"/>
    </row>
    <row r="893" customFormat="false" ht="15.75" hidden="false" customHeight="true" outlineLevel="0" collapsed="false">
      <c r="I893" s="28"/>
    </row>
    <row r="894" customFormat="false" ht="15.75" hidden="false" customHeight="true" outlineLevel="0" collapsed="false">
      <c r="I894" s="28"/>
    </row>
    <row r="895" customFormat="false" ht="15.75" hidden="false" customHeight="true" outlineLevel="0" collapsed="false">
      <c r="I895" s="28"/>
    </row>
    <row r="896" customFormat="false" ht="15.75" hidden="false" customHeight="true" outlineLevel="0" collapsed="false">
      <c r="I896" s="28"/>
    </row>
    <row r="897" customFormat="false" ht="15.75" hidden="false" customHeight="true" outlineLevel="0" collapsed="false">
      <c r="I897" s="28"/>
    </row>
    <row r="898" customFormat="false" ht="15.75" hidden="false" customHeight="true" outlineLevel="0" collapsed="false">
      <c r="I898" s="28"/>
    </row>
    <row r="899" customFormat="false" ht="15.75" hidden="false" customHeight="true" outlineLevel="0" collapsed="false">
      <c r="I899" s="28"/>
    </row>
    <row r="900" customFormat="false" ht="15.75" hidden="false" customHeight="true" outlineLevel="0" collapsed="false">
      <c r="I900" s="28"/>
    </row>
    <row r="901" customFormat="false" ht="15.75" hidden="false" customHeight="true" outlineLevel="0" collapsed="false">
      <c r="I901" s="28"/>
    </row>
    <row r="902" customFormat="false" ht="15.75" hidden="false" customHeight="true" outlineLevel="0" collapsed="false">
      <c r="I902" s="28"/>
    </row>
    <row r="903" customFormat="false" ht="15.75" hidden="false" customHeight="true" outlineLevel="0" collapsed="false">
      <c r="I903" s="28"/>
    </row>
    <row r="904" customFormat="false" ht="15.75" hidden="false" customHeight="true" outlineLevel="0" collapsed="false">
      <c r="I904" s="28"/>
    </row>
    <row r="905" customFormat="false" ht="15.75" hidden="false" customHeight="true" outlineLevel="0" collapsed="false">
      <c r="I905" s="28"/>
    </row>
    <row r="906" customFormat="false" ht="15.75" hidden="false" customHeight="true" outlineLevel="0" collapsed="false">
      <c r="I906" s="28"/>
    </row>
    <row r="907" customFormat="false" ht="15.75" hidden="false" customHeight="true" outlineLevel="0" collapsed="false">
      <c r="I907" s="28"/>
    </row>
    <row r="908" customFormat="false" ht="15.75" hidden="false" customHeight="true" outlineLevel="0" collapsed="false">
      <c r="I908" s="28"/>
    </row>
    <row r="909" customFormat="false" ht="15.75" hidden="false" customHeight="true" outlineLevel="0" collapsed="false">
      <c r="I909" s="28"/>
    </row>
    <row r="910" customFormat="false" ht="15.75" hidden="false" customHeight="true" outlineLevel="0" collapsed="false">
      <c r="I910" s="28"/>
    </row>
    <row r="911" customFormat="false" ht="15.75" hidden="false" customHeight="true" outlineLevel="0" collapsed="false">
      <c r="I911" s="28"/>
    </row>
    <row r="912" customFormat="false" ht="15.75" hidden="false" customHeight="true" outlineLevel="0" collapsed="false">
      <c r="I912" s="28"/>
    </row>
    <row r="913" customFormat="false" ht="15.75" hidden="false" customHeight="true" outlineLevel="0" collapsed="false">
      <c r="I913" s="28"/>
    </row>
    <row r="914" customFormat="false" ht="15.75" hidden="false" customHeight="true" outlineLevel="0" collapsed="false">
      <c r="I914" s="28"/>
    </row>
    <row r="915" customFormat="false" ht="15.75" hidden="false" customHeight="true" outlineLevel="0" collapsed="false">
      <c r="I915" s="28"/>
    </row>
    <row r="916" customFormat="false" ht="15.75" hidden="false" customHeight="true" outlineLevel="0" collapsed="false">
      <c r="I916" s="28"/>
    </row>
    <row r="917" customFormat="false" ht="15.75" hidden="false" customHeight="true" outlineLevel="0" collapsed="false">
      <c r="I917" s="28"/>
    </row>
    <row r="918" customFormat="false" ht="15.75" hidden="false" customHeight="true" outlineLevel="0" collapsed="false">
      <c r="I918" s="28"/>
    </row>
    <row r="919" customFormat="false" ht="15.75" hidden="false" customHeight="true" outlineLevel="0" collapsed="false">
      <c r="I919" s="28"/>
    </row>
    <row r="920" customFormat="false" ht="15.75" hidden="false" customHeight="true" outlineLevel="0" collapsed="false">
      <c r="I920" s="28"/>
    </row>
    <row r="921" customFormat="false" ht="15.75" hidden="false" customHeight="true" outlineLevel="0" collapsed="false">
      <c r="I921" s="28"/>
    </row>
    <row r="922" customFormat="false" ht="15.75" hidden="false" customHeight="true" outlineLevel="0" collapsed="false">
      <c r="I922" s="28"/>
    </row>
    <row r="923" customFormat="false" ht="15.75" hidden="false" customHeight="true" outlineLevel="0" collapsed="false">
      <c r="I923" s="28"/>
    </row>
    <row r="924" customFormat="false" ht="15.75" hidden="false" customHeight="true" outlineLevel="0" collapsed="false">
      <c r="I924" s="28"/>
    </row>
    <row r="925" customFormat="false" ht="15.75" hidden="false" customHeight="true" outlineLevel="0" collapsed="false">
      <c r="I925" s="28"/>
    </row>
    <row r="926" customFormat="false" ht="15.75" hidden="false" customHeight="true" outlineLevel="0" collapsed="false">
      <c r="I926" s="28"/>
    </row>
    <row r="927" customFormat="false" ht="15.75" hidden="false" customHeight="true" outlineLevel="0" collapsed="false">
      <c r="I927" s="28"/>
    </row>
    <row r="928" customFormat="false" ht="15.75" hidden="false" customHeight="true" outlineLevel="0" collapsed="false">
      <c r="I928" s="28"/>
    </row>
    <row r="929" customFormat="false" ht="15.75" hidden="false" customHeight="true" outlineLevel="0" collapsed="false">
      <c r="I929" s="28"/>
    </row>
    <row r="930" customFormat="false" ht="15.75" hidden="false" customHeight="true" outlineLevel="0" collapsed="false">
      <c r="I930" s="28"/>
    </row>
    <row r="931" customFormat="false" ht="15.75" hidden="false" customHeight="true" outlineLevel="0" collapsed="false">
      <c r="I931" s="28"/>
    </row>
    <row r="932" customFormat="false" ht="15.75" hidden="false" customHeight="true" outlineLevel="0" collapsed="false">
      <c r="I932" s="28"/>
    </row>
    <row r="933" customFormat="false" ht="15.75" hidden="false" customHeight="true" outlineLevel="0" collapsed="false">
      <c r="I933" s="28"/>
    </row>
    <row r="934" customFormat="false" ht="15.75" hidden="false" customHeight="true" outlineLevel="0" collapsed="false">
      <c r="I934" s="28"/>
    </row>
    <row r="935" customFormat="false" ht="15.75" hidden="false" customHeight="true" outlineLevel="0" collapsed="false">
      <c r="I935" s="28"/>
    </row>
    <row r="936" customFormat="false" ht="15.75" hidden="false" customHeight="true" outlineLevel="0" collapsed="false">
      <c r="I936" s="28"/>
    </row>
    <row r="937" customFormat="false" ht="15.75" hidden="false" customHeight="true" outlineLevel="0" collapsed="false">
      <c r="I937" s="28"/>
    </row>
    <row r="938" customFormat="false" ht="15.75" hidden="false" customHeight="true" outlineLevel="0" collapsed="false">
      <c r="I938" s="28"/>
    </row>
    <row r="939" customFormat="false" ht="15.75" hidden="false" customHeight="true" outlineLevel="0" collapsed="false">
      <c r="I939" s="28"/>
    </row>
    <row r="940" customFormat="false" ht="15.75" hidden="false" customHeight="true" outlineLevel="0" collapsed="false">
      <c r="I940" s="28"/>
    </row>
    <row r="941" customFormat="false" ht="15.75" hidden="false" customHeight="true" outlineLevel="0" collapsed="false">
      <c r="I941" s="28"/>
    </row>
    <row r="942" customFormat="false" ht="15.75" hidden="false" customHeight="true" outlineLevel="0" collapsed="false">
      <c r="I942" s="28"/>
    </row>
    <row r="943" customFormat="false" ht="15.75" hidden="false" customHeight="true" outlineLevel="0" collapsed="false">
      <c r="I943" s="28"/>
    </row>
    <row r="944" customFormat="false" ht="15.75" hidden="false" customHeight="true" outlineLevel="0" collapsed="false">
      <c r="I944" s="28"/>
    </row>
    <row r="945" customFormat="false" ht="15.75" hidden="false" customHeight="true" outlineLevel="0" collapsed="false">
      <c r="I945" s="28"/>
    </row>
    <row r="946" customFormat="false" ht="15.75" hidden="false" customHeight="true" outlineLevel="0" collapsed="false">
      <c r="I946" s="28"/>
    </row>
    <row r="947" customFormat="false" ht="15.75" hidden="false" customHeight="true" outlineLevel="0" collapsed="false">
      <c r="I947" s="28"/>
    </row>
    <row r="948" customFormat="false" ht="15.75" hidden="false" customHeight="true" outlineLevel="0" collapsed="false">
      <c r="I948" s="28"/>
    </row>
    <row r="949" customFormat="false" ht="15.75" hidden="false" customHeight="true" outlineLevel="0" collapsed="false">
      <c r="I949" s="28"/>
    </row>
    <row r="950" customFormat="false" ht="15.75" hidden="false" customHeight="true" outlineLevel="0" collapsed="false">
      <c r="I950" s="28"/>
    </row>
    <row r="951" customFormat="false" ht="15.75" hidden="false" customHeight="true" outlineLevel="0" collapsed="false">
      <c r="I951" s="28"/>
    </row>
    <row r="952" customFormat="false" ht="15.75" hidden="false" customHeight="true" outlineLevel="0" collapsed="false">
      <c r="I952" s="28"/>
    </row>
    <row r="953" customFormat="false" ht="15.75" hidden="false" customHeight="true" outlineLevel="0" collapsed="false">
      <c r="I953" s="28"/>
    </row>
    <row r="954" customFormat="false" ht="15.75" hidden="false" customHeight="true" outlineLevel="0" collapsed="false">
      <c r="I954" s="28"/>
    </row>
    <row r="955" customFormat="false" ht="15.75" hidden="false" customHeight="true" outlineLevel="0" collapsed="false">
      <c r="I955" s="28"/>
    </row>
    <row r="956" customFormat="false" ht="15.75" hidden="false" customHeight="true" outlineLevel="0" collapsed="false">
      <c r="I956" s="28"/>
    </row>
    <row r="957" customFormat="false" ht="15.75" hidden="false" customHeight="true" outlineLevel="0" collapsed="false">
      <c r="I957" s="28"/>
    </row>
    <row r="958" customFormat="false" ht="15.75" hidden="false" customHeight="true" outlineLevel="0" collapsed="false">
      <c r="I958" s="28"/>
    </row>
    <row r="959" customFormat="false" ht="15.75" hidden="false" customHeight="true" outlineLevel="0" collapsed="false">
      <c r="I959" s="28"/>
    </row>
    <row r="960" customFormat="false" ht="15.75" hidden="false" customHeight="true" outlineLevel="0" collapsed="false">
      <c r="I960" s="28"/>
    </row>
    <row r="961" customFormat="false" ht="15.75" hidden="false" customHeight="true" outlineLevel="0" collapsed="false">
      <c r="I961" s="28"/>
    </row>
    <row r="962" customFormat="false" ht="15.75" hidden="false" customHeight="true" outlineLevel="0" collapsed="false">
      <c r="I962" s="28"/>
    </row>
    <row r="963" customFormat="false" ht="15.75" hidden="false" customHeight="true" outlineLevel="0" collapsed="false">
      <c r="I963" s="28"/>
    </row>
    <row r="964" customFormat="false" ht="15.75" hidden="false" customHeight="true" outlineLevel="0" collapsed="false">
      <c r="I964" s="28"/>
    </row>
    <row r="965" customFormat="false" ht="15.75" hidden="false" customHeight="true" outlineLevel="0" collapsed="false">
      <c r="I965" s="28"/>
    </row>
    <row r="966" customFormat="false" ht="15.75" hidden="false" customHeight="true" outlineLevel="0" collapsed="false">
      <c r="I966" s="28"/>
    </row>
    <row r="967" customFormat="false" ht="15.75" hidden="false" customHeight="true" outlineLevel="0" collapsed="false">
      <c r="I967" s="28"/>
    </row>
    <row r="968" customFormat="false" ht="15.75" hidden="false" customHeight="true" outlineLevel="0" collapsed="false">
      <c r="I968" s="28"/>
    </row>
    <row r="969" customFormat="false" ht="15.75" hidden="false" customHeight="true" outlineLevel="0" collapsed="false">
      <c r="I969" s="28"/>
    </row>
    <row r="970" customFormat="false" ht="15.75" hidden="false" customHeight="true" outlineLevel="0" collapsed="false">
      <c r="I970" s="28"/>
    </row>
    <row r="971" customFormat="false" ht="15.75" hidden="false" customHeight="true" outlineLevel="0" collapsed="false">
      <c r="I971" s="28"/>
    </row>
    <row r="972" customFormat="false" ht="15.75" hidden="false" customHeight="true" outlineLevel="0" collapsed="false">
      <c r="I972" s="28"/>
    </row>
    <row r="973" customFormat="false" ht="15.75" hidden="false" customHeight="true" outlineLevel="0" collapsed="false">
      <c r="I973" s="28"/>
    </row>
    <row r="974" customFormat="false" ht="15.75" hidden="false" customHeight="true" outlineLevel="0" collapsed="false">
      <c r="I974" s="28"/>
    </row>
    <row r="975" customFormat="false" ht="15.75" hidden="false" customHeight="true" outlineLevel="0" collapsed="false">
      <c r="I975" s="28"/>
    </row>
    <row r="976" customFormat="false" ht="15.75" hidden="false" customHeight="true" outlineLevel="0" collapsed="false">
      <c r="I976" s="28"/>
    </row>
    <row r="977" customFormat="false" ht="15.75" hidden="false" customHeight="true" outlineLevel="0" collapsed="false">
      <c r="I977" s="28"/>
    </row>
    <row r="978" customFormat="false" ht="15.75" hidden="false" customHeight="true" outlineLevel="0" collapsed="false">
      <c r="I978" s="28"/>
    </row>
    <row r="979" customFormat="false" ht="15.75" hidden="false" customHeight="true" outlineLevel="0" collapsed="false">
      <c r="I979" s="28"/>
    </row>
    <row r="980" customFormat="false" ht="15.75" hidden="false" customHeight="true" outlineLevel="0" collapsed="false">
      <c r="I980" s="28"/>
    </row>
    <row r="981" customFormat="false" ht="15.75" hidden="false" customHeight="true" outlineLevel="0" collapsed="false">
      <c r="I981" s="28"/>
    </row>
    <row r="982" customFormat="false" ht="15.75" hidden="false" customHeight="true" outlineLevel="0" collapsed="false">
      <c r="I982" s="28"/>
    </row>
    <row r="983" customFormat="false" ht="15.75" hidden="false" customHeight="true" outlineLevel="0" collapsed="false">
      <c r="I983" s="28"/>
    </row>
    <row r="984" customFormat="false" ht="15.75" hidden="false" customHeight="true" outlineLevel="0" collapsed="false">
      <c r="I984" s="28"/>
    </row>
    <row r="985" customFormat="false" ht="15.75" hidden="false" customHeight="true" outlineLevel="0" collapsed="false">
      <c r="I985" s="28"/>
    </row>
    <row r="986" customFormat="false" ht="15.75" hidden="false" customHeight="true" outlineLevel="0" collapsed="false">
      <c r="I986" s="28"/>
    </row>
    <row r="987" customFormat="false" ht="15.75" hidden="false" customHeight="true" outlineLevel="0" collapsed="false">
      <c r="I987" s="28"/>
    </row>
    <row r="988" customFormat="false" ht="15.75" hidden="false" customHeight="true" outlineLevel="0" collapsed="false">
      <c r="I988" s="28"/>
    </row>
    <row r="989" customFormat="false" ht="15.75" hidden="false" customHeight="true" outlineLevel="0" collapsed="false">
      <c r="I989" s="28"/>
    </row>
    <row r="990" customFormat="false" ht="15.75" hidden="false" customHeight="true" outlineLevel="0" collapsed="false">
      <c r="I990" s="28"/>
    </row>
    <row r="991" customFormat="false" ht="15.75" hidden="false" customHeight="true" outlineLevel="0" collapsed="false">
      <c r="I991" s="28"/>
    </row>
    <row r="992" customFormat="false" ht="15.75" hidden="false" customHeight="true" outlineLevel="0" collapsed="false">
      <c r="I992" s="28"/>
    </row>
    <row r="993" customFormat="false" ht="15.75" hidden="false" customHeight="true" outlineLevel="0" collapsed="false">
      <c r="I993" s="28"/>
    </row>
    <row r="994" customFormat="false" ht="15.75" hidden="false" customHeight="true" outlineLevel="0" collapsed="false">
      <c r="I994" s="28"/>
    </row>
    <row r="995" customFormat="false" ht="15.75" hidden="false" customHeight="true" outlineLevel="0" collapsed="false">
      <c r="I995" s="28"/>
    </row>
    <row r="996" customFormat="false" ht="15.75" hidden="false" customHeight="true" outlineLevel="0" collapsed="false">
      <c r="I996" s="28"/>
    </row>
    <row r="997" customFormat="false" ht="15.75" hidden="false" customHeight="true" outlineLevel="0" collapsed="false">
      <c r="I997" s="28"/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20.43"/>
    <col collapsed="false" customWidth="true" hidden="false" outlineLevel="0" max="7" min="4" style="1" width="12"/>
    <col collapsed="false" customWidth="true" hidden="false" outlineLevel="0" max="8" min="8" style="1" width="23"/>
    <col collapsed="false" customWidth="true" hidden="false" outlineLevel="0" max="9" min="9" style="1" width="12"/>
    <col collapsed="false" customWidth="true" hidden="false" outlineLevel="0" max="10" min="10" style="1" width="24"/>
    <col collapsed="false" customWidth="true" hidden="false" outlineLevel="0" max="11" min="11" style="1" width="23"/>
    <col collapsed="false" customWidth="true" hidden="false" outlineLevel="0" max="16" min="12" style="1" width="12"/>
    <col collapsed="false" customWidth="true" hidden="false" outlineLevel="0" max="27" min="17" style="1" width="8.71"/>
  </cols>
  <sheetData>
    <row r="1" customFormat="false" ht="27.75" hidden="false" customHeight="true" outlineLevel="0" collapsed="false">
      <c r="A1" s="10" t="s">
        <v>573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30" hidden="false" customHeight="true" outlineLevel="0" collapsed="false">
      <c r="A2" s="11" t="s">
        <v>651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customFormat="false" ht="7.5" hidden="false" customHeight="true" outlineLevel="0" collapsed="false"/>
    <row r="5" customFormat="false" ht="36" hidden="false" customHeight="true" outlineLevel="0" collapsed="false">
      <c r="A5" s="29" t="s">
        <v>652</v>
      </c>
      <c r="B5" s="29" t="s">
        <v>653</v>
      </c>
      <c r="C5" s="29" t="s">
        <v>654</v>
      </c>
      <c r="D5" s="29" t="s">
        <v>655</v>
      </c>
      <c r="E5" s="29" t="s">
        <v>656</v>
      </c>
      <c r="F5" s="29" t="s">
        <v>657</v>
      </c>
      <c r="G5" s="29" t="s">
        <v>658</v>
      </c>
      <c r="H5" s="29" t="s">
        <v>659</v>
      </c>
      <c r="I5" s="29" t="s">
        <v>660</v>
      </c>
      <c r="J5" s="29" t="s">
        <v>661</v>
      </c>
      <c r="K5" s="29" t="s">
        <v>662</v>
      </c>
      <c r="L5" s="29" t="s">
        <v>440</v>
      </c>
      <c r="M5" s="29" t="s">
        <v>663</v>
      </c>
      <c r="N5" s="29" t="s">
        <v>583</v>
      </c>
      <c r="O5" s="29" t="s">
        <v>664</v>
      </c>
      <c r="P5" s="29" t="s">
        <v>98</v>
      </c>
    </row>
    <row r="6" customFormat="false" ht="15" hidden="false" customHeight="true" outlineLevel="0" collapsed="false">
      <c r="A6" s="33" t="s">
        <v>652</v>
      </c>
      <c r="B6" s="33" t="s">
        <v>653</v>
      </c>
      <c r="C6" s="33" t="s">
        <v>665</v>
      </c>
      <c r="D6" s="33" t="s">
        <v>655</v>
      </c>
      <c r="E6" s="33" t="s">
        <v>656</v>
      </c>
      <c r="F6" s="33" t="s">
        <v>657</v>
      </c>
      <c r="G6" s="33" t="s">
        <v>658</v>
      </c>
      <c r="H6" s="33" t="s">
        <v>666</v>
      </c>
      <c r="I6" s="33" t="s">
        <v>660</v>
      </c>
      <c r="J6" s="33" t="s">
        <v>667</v>
      </c>
      <c r="K6" s="33" t="s">
        <v>668</v>
      </c>
      <c r="L6" s="33" t="s">
        <v>669</v>
      </c>
      <c r="M6" s="34" t="s">
        <v>663</v>
      </c>
      <c r="N6" s="33" t="s">
        <v>583</v>
      </c>
      <c r="O6" s="33" t="s">
        <v>664</v>
      </c>
      <c r="P6" s="33" t="s">
        <v>98</v>
      </c>
    </row>
    <row r="7" customFormat="false" ht="15" hidden="false" customHeight="true" outlineLevel="0" collapsed="false">
      <c r="A7" s="1" t="s">
        <v>670</v>
      </c>
      <c r="B7" s="1" t="s">
        <v>149</v>
      </c>
      <c r="C7" s="1" t="s">
        <v>671</v>
      </c>
      <c r="D7" s="1" t="s">
        <v>672</v>
      </c>
      <c r="E7" s="1" t="s">
        <v>673</v>
      </c>
      <c r="F7" s="1" t="s">
        <v>674</v>
      </c>
      <c r="G7" s="32" t="n">
        <v>500</v>
      </c>
      <c r="H7" s="32" t="n">
        <v>20</v>
      </c>
      <c r="I7" s="1" t="n">
        <f aca="false">G7*H7</f>
        <v>10000</v>
      </c>
      <c r="J7" s="1" t="n">
        <v>0.0001</v>
      </c>
      <c r="K7" s="1" t="n">
        <v>2.5</v>
      </c>
      <c r="L7" s="1" t="n">
        <f aca="false">(I7*J7)+K7</f>
        <v>3.5</v>
      </c>
      <c r="M7" s="32" t="s">
        <v>675</v>
      </c>
      <c r="N7" s="1" t="n">
        <v>2025</v>
      </c>
      <c r="O7" s="1" t="s">
        <v>676</v>
      </c>
      <c r="P7" s="1" t="s">
        <v>677</v>
      </c>
    </row>
    <row r="8" customFormat="false" ht="15" hidden="false" customHeight="true" outlineLevel="0" collapsed="false">
      <c r="A8" s="1" t="s">
        <v>678</v>
      </c>
      <c r="B8" s="1" t="s">
        <v>149</v>
      </c>
      <c r="C8" s="1" t="s">
        <v>671</v>
      </c>
      <c r="D8" s="1" t="s">
        <v>679</v>
      </c>
      <c r="E8" s="1" t="s">
        <v>680</v>
      </c>
      <c r="F8" s="1" t="s">
        <v>673</v>
      </c>
      <c r="G8" s="32" t="n">
        <v>300</v>
      </c>
      <c r="H8" s="32" t="n">
        <v>3</v>
      </c>
      <c r="I8" s="1" t="n">
        <f aca="false">G8*H8</f>
        <v>900</v>
      </c>
      <c r="J8" s="1" t="n">
        <v>0.00022</v>
      </c>
      <c r="K8" s="1" t="n">
        <v>1</v>
      </c>
      <c r="L8" s="1" t="n">
        <f aca="false">(I8*J8)+K8</f>
        <v>1.198</v>
      </c>
      <c r="M8" s="32" t="s">
        <v>675</v>
      </c>
      <c r="N8" s="1" t="n">
        <v>2025</v>
      </c>
      <c r="O8" s="1" t="s">
        <v>676</v>
      </c>
      <c r="P8" s="1" t="s">
        <v>681</v>
      </c>
    </row>
    <row r="9" customFormat="false" ht="15" hidden="false" customHeight="true" outlineLevel="0" collapsed="false">
      <c r="A9" s="1" t="s">
        <v>682</v>
      </c>
      <c r="B9" s="1" t="s">
        <v>149</v>
      </c>
      <c r="C9" s="1" t="s">
        <v>671</v>
      </c>
      <c r="D9" s="1" t="s">
        <v>683</v>
      </c>
      <c r="E9" s="1" t="s">
        <v>684</v>
      </c>
      <c r="F9" s="1" t="s">
        <v>685</v>
      </c>
      <c r="G9" s="32" t="n">
        <v>1400</v>
      </c>
      <c r="H9" s="32" t="n">
        <v>10</v>
      </c>
      <c r="I9" s="1" t="n">
        <f aca="false">G9*H9</f>
        <v>14000</v>
      </c>
      <c r="J9" s="1" t="n">
        <v>0.00013</v>
      </c>
      <c r="K9" s="1" t="n">
        <v>2.5</v>
      </c>
      <c r="L9" s="1" t="n">
        <f aca="false">(I9*J9)+K9</f>
        <v>4.32</v>
      </c>
      <c r="M9" s="32" t="s">
        <v>675</v>
      </c>
      <c r="N9" s="1" t="n">
        <v>2025</v>
      </c>
      <c r="O9" s="1" t="s">
        <v>676</v>
      </c>
      <c r="P9" s="1" t="s">
        <v>686</v>
      </c>
    </row>
    <row r="10" customFormat="false" ht="15" hidden="false" customHeight="true" outlineLevel="0" collapsed="false">
      <c r="A10" s="1" t="s">
        <v>687</v>
      </c>
      <c r="B10" s="1" t="s">
        <v>149</v>
      </c>
      <c r="C10" s="1" t="s">
        <v>671</v>
      </c>
      <c r="D10" s="1" t="s">
        <v>688</v>
      </c>
      <c r="E10" s="1" t="s">
        <v>689</v>
      </c>
      <c r="F10" s="1" t="s">
        <v>685</v>
      </c>
      <c r="G10" s="32" t="n">
        <v>1100</v>
      </c>
      <c r="H10" s="32" t="n">
        <v>35</v>
      </c>
      <c r="I10" s="1" t="n">
        <f aca="false">G10*H10</f>
        <v>38500</v>
      </c>
      <c r="J10" s="1" t="n">
        <v>8E-005</v>
      </c>
      <c r="K10" s="1" t="n">
        <v>5</v>
      </c>
      <c r="L10" s="1" t="n">
        <f aca="false">(I10*J10)+K10</f>
        <v>8.08</v>
      </c>
      <c r="M10" s="32" t="s">
        <v>690</v>
      </c>
      <c r="N10" s="1" t="n">
        <v>2025</v>
      </c>
      <c r="O10" s="1" t="s">
        <v>691</v>
      </c>
      <c r="P10" s="1" t="s">
        <v>692</v>
      </c>
    </row>
    <row r="11" customFormat="false" ht="15" hidden="false" customHeight="true" outlineLevel="0" collapsed="false">
      <c r="A11" s="1" t="s">
        <v>693</v>
      </c>
      <c r="B11" s="1" t="s">
        <v>149</v>
      </c>
      <c r="C11" s="1" t="s">
        <v>694</v>
      </c>
      <c r="D11" s="1" t="s">
        <v>695</v>
      </c>
      <c r="E11" s="1" t="s">
        <v>685</v>
      </c>
      <c r="F11" s="1" t="s">
        <v>588</v>
      </c>
      <c r="G11" s="32" t="n">
        <v>900</v>
      </c>
      <c r="H11" s="32" t="n">
        <v>50</v>
      </c>
      <c r="I11" s="1" t="n">
        <f aca="false">G11*H11</f>
        <v>45000</v>
      </c>
      <c r="J11" s="1" t="n">
        <v>3E-005</v>
      </c>
      <c r="K11" s="1" t="n">
        <v>0</v>
      </c>
      <c r="L11" s="1" t="n">
        <f aca="false">(I11*J11)+K11</f>
        <v>1.35</v>
      </c>
      <c r="M11" s="32" t="s">
        <v>690</v>
      </c>
      <c r="N11" s="1" t="n">
        <v>2025</v>
      </c>
      <c r="O11" s="1" t="s">
        <v>691</v>
      </c>
      <c r="P11" s="1" t="s">
        <v>696</v>
      </c>
    </row>
    <row r="12" customFormat="false" ht="15" hidden="false" customHeight="true" outlineLevel="0" collapsed="false">
      <c r="A12" s="1" t="s">
        <v>697</v>
      </c>
      <c r="B12" s="1" t="s">
        <v>149</v>
      </c>
      <c r="C12" s="1" t="s">
        <v>698</v>
      </c>
      <c r="D12" s="1" t="s">
        <v>699</v>
      </c>
      <c r="E12" s="1" t="s">
        <v>700</v>
      </c>
      <c r="F12" s="1" t="s">
        <v>701</v>
      </c>
      <c r="G12" s="32" t="n">
        <v>2000</v>
      </c>
      <c r="H12" s="32" t="n">
        <v>100</v>
      </c>
      <c r="I12" s="1" t="n">
        <f aca="false">G12*H12</f>
        <v>200000</v>
      </c>
      <c r="J12" s="1" t="n">
        <v>1E-005</v>
      </c>
      <c r="K12" s="1" t="n">
        <v>0</v>
      </c>
      <c r="L12" s="1" t="n">
        <f aca="false">(I12*J12)+K12</f>
        <v>2</v>
      </c>
      <c r="M12" s="32" t="s">
        <v>690</v>
      </c>
      <c r="N12" s="1" t="n">
        <v>2025</v>
      </c>
      <c r="O12" s="1" t="s">
        <v>676</v>
      </c>
      <c r="P12" s="1" t="s">
        <v>702</v>
      </c>
    </row>
    <row r="13" customFormat="false" ht="15" hidden="false" customHeight="true" outlineLevel="0" collapsed="false">
      <c r="A13" s="1" t="s">
        <v>703</v>
      </c>
      <c r="B13" s="1" t="s">
        <v>149</v>
      </c>
      <c r="C13" s="1" t="s">
        <v>698</v>
      </c>
      <c r="D13" s="1" t="s">
        <v>704</v>
      </c>
      <c r="E13" s="1" t="s">
        <v>705</v>
      </c>
      <c r="F13" s="1" t="s">
        <v>674</v>
      </c>
      <c r="G13" s="32" t="n">
        <v>1500</v>
      </c>
      <c r="H13" s="32" t="n">
        <v>200</v>
      </c>
      <c r="I13" s="1" t="n">
        <f aca="false">G13*H13</f>
        <v>300000</v>
      </c>
      <c r="J13" s="1" t="n">
        <v>8E-006</v>
      </c>
      <c r="K13" s="1" t="n">
        <v>0</v>
      </c>
      <c r="L13" s="1" t="n">
        <f aca="false">(I13*J13)+K13</f>
        <v>2.4</v>
      </c>
      <c r="M13" s="32" t="s">
        <v>690</v>
      </c>
      <c r="N13" s="1" t="n">
        <v>2025</v>
      </c>
      <c r="O13" s="1" t="s">
        <v>676</v>
      </c>
      <c r="P13" s="1" t="s">
        <v>706</v>
      </c>
    </row>
    <row r="14" customFormat="false" ht="15" hidden="false" customHeight="true" outlineLevel="0" collapsed="false">
      <c r="A14" s="1" t="s">
        <v>707</v>
      </c>
      <c r="B14" s="1" t="s">
        <v>149</v>
      </c>
      <c r="C14" s="1" t="s">
        <v>708</v>
      </c>
      <c r="D14" s="1" t="s">
        <v>709</v>
      </c>
      <c r="E14" s="1" t="s">
        <v>674</v>
      </c>
      <c r="F14" s="1" t="s">
        <v>710</v>
      </c>
      <c r="G14" s="32" t="n">
        <v>7000</v>
      </c>
      <c r="H14" s="32" t="n">
        <v>5</v>
      </c>
      <c r="I14" s="1" t="n">
        <f aca="false">G14*H14</f>
        <v>35000</v>
      </c>
      <c r="J14" s="1" t="n">
        <v>0.0006</v>
      </c>
      <c r="K14" s="1" t="n">
        <v>0</v>
      </c>
      <c r="L14" s="1" t="n">
        <f aca="false">(I14*J14)+K14</f>
        <v>21</v>
      </c>
      <c r="M14" s="32" t="s">
        <v>690</v>
      </c>
      <c r="N14" s="1" t="n">
        <v>2025</v>
      </c>
      <c r="O14" s="1" t="s">
        <v>676</v>
      </c>
      <c r="P14" s="1" t="s">
        <v>711</v>
      </c>
    </row>
    <row r="15" customFormat="false" ht="15" hidden="false" customHeight="true" outlineLevel="0" collapsed="false">
      <c r="A15" s="1" t="s">
        <v>712</v>
      </c>
      <c r="B15" s="1" t="s">
        <v>149</v>
      </c>
      <c r="C15" s="1" t="s">
        <v>708</v>
      </c>
      <c r="D15" s="1" t="s">
        <v>713</v>
      </c>
      <c r="E15" s="1" t="s">
        <v>685</v>
      </c>
      <c r="F15" s="1" t="s">
        <v>714</v>
      </c>
      <c r="G15" s="32" t="n">
        <v>12000</v>
      </c>
      <c r="H15" s="32" t="n">
        <v>3</v>
      </c>
      <c r="I15" s="1" t="n">
        <f aca="false">G15*H15</f>
        <v>36000</v>
      </c>
      <c r="J15" s="1" t="n">
        <v>0.0008</v>
      </c>
      <c r="K15" s="1" t="n">
        <v>0</v>
      </c>
      <c r="L15" s="1" t="n">
        <f aca="false">(I15*J15)+K15</f>
        <v>28.8</v>
      </c>
      <c r="M15" s="32" t="s">
        <v>690</v>
      </c>
      <c r="N15" s="1" t="n">
        <v>2025</v>
      </c>
      <c r="O15" s="1" t="s">
        <v>676</v>
      </c>
      <c r="P15" s="1" t="s">
        <v>715</v>
      </c>
    </row>
    <row r="16" customFormat="false" ht="15" hidden="false" customHeight="true" outlineLevel="0" collapsed="false">
      <c r="A16" s="1" t="s">
        <v>716</v>
      </c>
      <c r="B16" s="1" t="s">
        <v>149</v>
      </c>
      <c r="C16" s="1" t="s">
        <v>671</v>
      </c>
      <c r="D16" s="1" t="s">
        <v>717</v>
      </c>
      <c r="E16" s="1" t="s">
        <v>718</v>
      </c>
      <c r="F16" s="1" t="s">
        <v>719</v>
      </c>
      <c r="G16" s="32" t="n">
        <v>350</v>
      </c>
      <c r="H16" s="32" t="n">
        <v>8</v>
      </c>
      <c r="I16" s="1" t="n">
        <f aca="false">G16*H16</f>
        <v>2800</v>
      </c>
      <c r="J16" s="1" t="n">
        <v>4E-005</v>
      </c>
      <c r="K16" s="1" t="n">
        <v>0</v>
      </c>
      <c r="L16" s="1" t="n">
        <f aca="false">(I16*J16)+K16</f>
        <v>0.112</v>
      </c>
      <c r="M16" s="32" t="s">
        <v>675</v>
      </c>
      <c r="N16" s="1" t="n">
        <v>2025</v>
      </c>
      <c r="O16" s="1" t="s">
        <v>676</v>
      </c>
      <c r="P16" s="1" t="s">
        <v>720</v>
      </c>
    </row>
    <row r="17" customFormat="false" ht="1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 t="n">
        <v>0</v>
      </c>
      <c r="L17" s="15"/>
      <c r="M17" s="15"/>
      <c r="N17" s="35" t="str">
        <f aca="false">IF(I17&gt;0,I17*J17+K17,"")</f>
        <v/>
      </c>
      <c r="O17" s="15"/>
      <c r="P17" s="15"/>
    </row>
    <row r="18" customFormat="false" ht="15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35" t="str">
        <f aca="false">IF(I18&gt;0,I18*J18+K18,"")</f>
        <v/>
      </c>
      <c r="O18" s="20"/>
      <c r="P18" s="20"/>
    </row>
    <row r="19" customFormat="false" ht="15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35" t="str">
        <f aca="false">IF(I19&gt;0,I19*J19+K19,"")</f>
        <v/>
      </c>
      <c r="O19" s="15"/>
      <c r="P19" s="15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5" t="str">
        <f aca="false">IF(I20&gt;0,I20*J20+K20,"")</f>
        <v/>
      </c>
      <c r="O20" s="20"/>
      <c r="P20" s="20"/>
    </row>
    <row r="21" customFormat="false" ht="18" hidden="false" customHeight="true" outlineLevel="0" collapsed="false">
      <c r="A21" s="23" t="s">
        <v>430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 t="n">
        <f aca="false">SUM(N6:N20)</f>
        <v>20250</v>
      </c>
      <c r="O21" s="36"/>
      <c r="P21" s="36"/>
    </row>
    <row r="22" customFormat="false" ht="15.75" hidden="false" customHeight="true" outlineLevel="0" collapsed="false"/>
    <row r="23" customFormat="false" ht="15.75" hidden="false" customHeight="true" outlineLevel="0" collapsed="false">
      <c r="A23" s="25" t="s">
        <v>721</v>
      </c>
      <c r="B23" s="25"/>
      <c r="C23" s="25"/>
      <c r="D23" s="25"/>
      <c r="E23" s="25"/>
      <c r="F23" s="25"/>
      <c r="G23" s="25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P1"/>
    <mergeCell ref="A2:P2"/>
    <mergeCell ref="A3:P3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36"/>
    <col collapsed="false" customWidth="true" hidden="false" outlineLevel="0" max="6" min="4" style="1" width="16"/>
    <col collapsed="false" customWidth="true" hidden="false" outlineLevel="0" max="11" min="7" style="1" width="14"/>
    <col collapsed="false" customWidth="true" hidden="false" outlineLevel="0" max="26" min="12" style="1" width="8.71"/>
  </cols>
  <sheetData>
    <row r="1" customFormat="false" ht="27.75" hidden="false" customHeight="true" outlineLevel="0" collapsed="false">
      <c r="A1" s="10" t="s">
        <v>722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30" hidden="false" customHeight="true" outlineLevel="0" collapsed="false">
      <c r="A2" s="11" t="s">
        <v>723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724</v>
      </c>
      <c r="B5" s="13" t="s">
        <v>725</v>
      </c>
      <c r="C5" s="13" t="s">
        <v>726</v>
      </c>
      <c r="D5" s="13" t="s">
        <v>727</v>
      </c>
      <c r="E5" s="13" t="s">
        <v>728</v>
      </c>
      <c r="F5" s="13" t="s">
        <v>729</v>
      </c>
      <c r="G5" s="13" t="s">
        <v>730</v>
      </c>
      <c r="H5" s="13" t="s">
        <v>440</v>
      </c>
      <c r="I5" s="13" t="s">
        <v>97</v>
      </c>
      <c r="J5" s="13" t="s">
        <v>98</v>
      </c>
    </row>
    <row r="6" customFormat="false" ht="18" hidden="false" customHeight="true" outlineLevel="0" collapsed="false">
      <c r="A6" s="14" t="s">
        <v>731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19.5" hidden="false" customHeight="true" outlineLevel="0" collapsed="false">
      <c r="A7" s="15" t="s">
        <v>732</v>
      </c>
      <c r="B7" s="15" t="s">
        <v>733</v>
      </c>
      <c r="C7" s="15" t="s">
        <v>734</v>
      </c>
      <c r="D7" s="15" t="n">
        <v>0.58</v>
      </c>
      <c r="E7" s="15" t="n">
        <v>0.15</v>
      </c>
      <c r="F7" s="15" t="s">
        <v>735</v>
      </c>
      <c r="G7" s="16"/>
      <c r="H7" s="17" t="n">
        <f aca="false">IFERROR(G7*(D7+E7),0)</f>
        <v>0</v>
      </c>
      <c r="I7" s="18" t="s">
        <v>736</v>
      </c>
      <c r="J7" s="18" t="s">
        <v>737</v>
      </c>
    </row>
    <row r="8" customFormat="false" ht="19.5" hidden="false" customHeight="true" outlineLevel="0" collapsed="false">
      <c r="A8" s="20" t="s">
        <v>732</v>
      </c>
      <c r="B8" s="20" t="s">
        <v>738</v>
      </c>
      <c r="C8" s="20" t="s">
        <v>734</v>
      </c>
      <c r="D8" s="20" t="n">
        <v>0.72</v>
      </c>
      <c r="E8" s="20" t="n">
        <v>0.22</v>
      </c>
      <c r="F8" s="20" t="s">
        <v>735</v>
      </c>
      <c r="G8" s="16"/>
      <c r="H8" s="17" t="n">
        <f aca="false">IFERROR(G8*(D8+E8),0)</f>
        <v>0</v>
      </c>
      <c r="I8" s="21" t="s">
        <v>736</v>
      </c>
      <c r="J8" s="21" t="s">
        <v>737</v>
      </c>
    </row>
    <row r="9" customFormat="false" ht="19.5" hidden="false" customHeight="true" outlineLevel="0" collapsed="false">
      <c r="A9" s="15" t="s">
        <v>732</v>
      </c>
      <c r="B9" s="15" t="s">
        <v>739</v>
      </c>
      <c r="C9" s="15" t="s">
        <v>740</v>
      </c>
      <c r="D9" s="15" t="n">
        <v>0.63</v>
      </c>
      <c r="E9" s="15" t="n">
        <v>0.28</v>
      </c>
      <c r="F9" s="15" t="s">
        <v>741</v>
      </c>
      <c r="G9" s="16"/>
      <c r="H9" s="17" t="n">
        <f aca="false">IFERROR(G9*(D9+E9),0)</f>
        <v>0</v>
      </c>
      <c r="I9" s="18" t="s">
        <v>736</v>
      </c>
      <c r="J9" s="18" t="s">
        <v>737</v>
      </c>
    </row>
    <row r="10" customFormat="false" ht="19.5" hidden="false" customHeight="true" outlineLevel="0" collapsed="false">
      <c r="A10" s="20" t="s">
        <v>732</v>
      </c>
      <c r="B10" s="20" t="s">
        <v>742</v>
      </c>
      <c r="C10" s="20" t="s">
        <v>732</v>
      </c>
      <c r="D10" s="20" t="n">
        <v>0.45</v>
      </c>
      <c r="E10" s="20" t="n">
        <v>0.18</v>
      </c>
      <c r="F10" s="20" t="s">
        <v>741</v>
      </c>
      <c r="G10" s="16"/>
      <c r="H10" s="17" t="n">
        <f aca="false">IFERROR(G10*(D10+E10),0)</f>
        <v>0</v>
      </c>
      <c r="I10" s="21" t="s">
        <v>736</v>
      </c>
      <c r="J10" s="21" t="s">
        <v>737</v>
      </c>
    </row>
    <row r="11" customFormat="false" ht="19.5" hidden="false" customHeight="true" outlineLevel="0" collapsed="false">
      <c r="A11" s="15" t="s">
        <v>732</v>
      </c>
      <c r="B11" s="15" t="s">
        <v>743</v>
      </c>
      <c r="C11" s="15" t="s">
        <v>732</v>
      </c>
      <c r="D11" s="15" t="n">
        <v>0.68</v>
      </c>
      <c r="E11" s="15" t="n">
        <v>0.25</v>
      </c>
      <c r="F11" s="15" t="s">
        <v>741</v>
      </c>
      <c r="G11" s="16"/>
      <c r="H11" s="17" t="n">
        <f aca="false">IFERROR(G11*(D11+E11),0)</f>
        <v>0</v>
      </c>
      <c r="I11" s="18" t="s">
        <v>736</v>
      </c>
      <c r="J11" s="18" t="s">
        <v>737</v>
      </c>
    </row>
    <row r="12" customFormat="false" ht="19.5" hidden="false" customHeight="true" outlineLevel="0" collapsed="false">
      <c r="A12" s="20" t="s">
        <v>732</v>
      </c>
      <c r="B12" s="20" t="s">
        <v>744</v>
      </c>
      <c r="C12" s="20" t="s">
        <v>732</v>
      </c>
      <c r="D12" s="20" t="n">
        <v>0.55</v>
      </c>
      <c r="E12" s="20" t="n">
        <v>0.2</v>
      </c>
      <c r="F12" s="20" t="s">
        <v>741</v>
      </c>
      <c r="G12" s="16"/>
      <c r="H12" s="17" t="n">
        <f aca="false">IFERROR(G12*(D12+E12),0)</f>
        <v>0</v>
      </c>
      <c r="I12" s="21" t="s">
        <v>736</v>
      </c>
      <c r="J12" s="21" t="s">
        <v>737</v>
      </c>
    </row>
    <row r="13" customFormat="false" ht="19.5" hidden="false" customHeight="true" outlineLevel="0" collapsed="false">
      <c r="A13" s="15" t="s">
        <v>732</v>
      </c>
      <c r="B13" s="15" t="s">
        <v>745</v>
      </c>
      <c r="C13" s="15" t="s">
        <v>746</v>
      </c>
      <c r="D13" s="15" t="n">
        <v>0.028</v>
      </c>
      <c r="E13" s="15" t="n">
        <v>0</v>
      </c>
      <c r="F13" s="15" t="s">
        <v>747</v>
      </c>
      <c r="G13" s="16"/>
      <c r="H13" s="17" t="n">
        <f aca="false">IFERROR(G13*(D13+E13),0)</f>
        <v>0</v>
      </c>
      <c r="I13" s="18" t="s">
        <v>736</v>
      </c>
      <c r="J13" s="18" t="s">
        <v>737</v>
      </c>
    </row>
    <row r="14" customFormat="false" ht="18" hidden="false" customHeight="true" outlineLevel="0" collapsed="false">
      <c r="A14" s="14" t="s">
        <v>748</v>
      </c>
      <c r="B14" s="14"/>
      <c r="C14" s="14"/>
      <c r="D14" s="14"/>
      <c r="E14" s="14"/>
      <c r="F14" s="14"/>
      <c r="G14" s="14"/>
      <c r="H14" s="14"/>
      <c r="I14" s="14"/>
      <c r="J14" s="14"/>
    </row>
    <row r="15" customFormat="false" ht="19.5" hidden="false" customHeight="true" outlineLevel="0" collapsed="false">
      <c r="A15" s="15" t="s">
        <v>749</v>
      </c>
      <c r="B15" s="15" t="s">
        <v>750</v>
      </c>
      <c r="C15" s="15" t="s">
        <v>751</v>
      </c>
      <c r="D15" s="15" t="n">
        <v>0.21</v>
      </c>
      <c r="E15" s="15" t="n">
        <v>0</v>
      </c>
      <c r="F15" s="15" t="s">
        <v>747</v>
      </c>
      <c r="G15" s="16"/>
      <c r="H15" s="17" t="n">
        <f aca="false">IFERROR(G15*(D15+E15),0)</f>
        <v>0</v>
      </c>
      <c r="I15" s="18" t="s">
        <v>736</v>
      </c>
      <c r="J15" s="18" t="s">
        <v>737</v>
      </c>
    </row>
    <row r="16" customFormat="false" ht="19.5" hidden="false" customHeight="true" outlineLevel="0" collapsed="false">
      <c r="A16" s="20" t="s">
        <v>749</v>
      </c>
      <c r="B16" s="20" t="s">
        <v>750</v>
      </c>
      <c r="C16" s="20" t="s">
        <v>752</v>
      </c>
      <c r="D16" s="20" t="n">
        <v>0.16</v>
      </c>
      <c r="E16" s="20" t="n">
        <v>0</v>
      </c>
      <c r="F16" s="20" t="s">
        <v>753</v>
      </c>
      <c r="G16" s="16"/>
      <c r="H16" s="17" t="n">
        <f aca="false">IFERROR(G16*(D16+E16),0)</f>
        <v>0</v>
      </c>
      <c r="I16" s="21" t="s">
        <v>736</v>
      </c>
      <c r="J16" s="21" t="s">
        <v>737</v>
      </c>
    </row>
    <row r="17" customFormat="false" ht="19.5" hidden="false" customHeight="true" outlineLevel="0" collapsed="false">
      <c r="A17" s="15" t="s">
        <v>749</v>
      </c>
      <c r="B17" s="15" t="s">
        <v>754</v>
      </c>
      <c r="C17" s="15" t="s">
        <v>755</v>
      </c>
      <c r="D17" s="15" t="n">
        <v>0.85</v>
      </c>
      <c r="E17" s="15" t="n">
        <v>0</v>
      </c>
      <c r="F17" s="15" t="s">
        <v>756</v>
      </c>
      <c r="G17" s="16"/>
      <c r="H17" s="17" t="n">
        <f aca="false">IFERROR(G17*(D17+E17),0)</f>
        <v>0</v>
      </c>
      <c r="I17" s="18" t="s">
        <v>736</v>
      </c>
      <c r="J17" s="18" t="s">
        <v>737</v>
      </c>
    </row>
    <row r="18" customFormat="false" ht="19.5" hidden="false" customHeight="true" outlineLevel="0" collapsed="false">
      <c r="A18" s="20" t="s">
        <v>749</v>
      </c>
      <c r="B18" s="20" t="s">
        <v>757</v>
      </c>
      <c r="C18" s="20" t="s">
        <v>758</v>
      </c>
      <c r="D18" s="20" t="n">
        <v>0.32</v>
      </c>
      <c r="E18" s="20" t="n">
        <v>0</v>
      </c>
      <c r="F18" s="20" t="s">
        <v>747</v>
      </c>
      <c r="G18" s="16"/>
      <c r="H18" s="17" t="n">
        <f aca="false">IFERROR(G18*(D18+E18),0)</f>
        <v>0</v>
      </c>
      <c r="I18" s="21" t="s">
        <v>736</v>
      </c>
      <c r="J18" s="21" t="s">
        <v>737</v>
      </c>
    </row>
    <row r="19" customFormat="false" ht="19.5" hidden="false" customHeight="true" outlineLevel="0" collapsed="false">
      <c r="A19" s="15" t="s">
        <v>749</v>
      </c>
      <c r="B19" s="15" t="s">
        <v>759</v>
      </c>
      <c r="C19" s="15" t="s">
        <v>760</v>
      </c>
      <c r="D19" s="15" t="n">
        <v>0.25</v>
      </c>
      <c r="E19" s="15" t="n">
        <v>0</v>
      </c>
      <c r="F19" s="15" t="s">
        <v>747</v>
      </c>
      <c r="G19" s="16"/>
      <c r="H19" s="17" t="n">
        <f aca="false">IFERROR(G19*(D19+E19),0)</f>
        <v>0</v>
      </c>
      <c r="I19" s="18" t="s">
        <v>736</v>
      </c>
      <c r="J19" s="18" t="s">
        <v>737</v>
      </c>
    </row>
    <row r="20" customFormat="false" ht="19.5" hidden="false" customHeight="true" outlineLevel="0" collapsed="false">
      <c r="A20" s="20" t="s">
        <v>749</v>
      </c>
      <c r="B20" s="20" t="s">
        <v>761</v>
      </c>
      <c r="C20" s="20" t="s">
        <v>762</v>
      </c>
      <c r="D20" s="20" t="n">
        <v>1.05</v>
      </c>
      <c r="E20" s="20" t="n">
        <v>0</v>
      </c>
      <c r="F20" s="20" t="s">
        <v>747</v>
      </c>
      <c r="G20" s="16"/>
      <c r="H20" s="17" t="n">
        <f aca="false">IFERROR(G20*(D20+E20),0)</f>
        <v>0</v>
      </c>
      <c r="I20" s="21" t="s">
        <v>736</v>
      </c>
      <c r="J20" s="21" t="s">
        <v>737</v>
      </c>
    </row>
    <row r="21" customFormat="false" ht="19.5" hidden="false" customHeight="true" outlineLevel="0" collapsed="false">
      <c r="A21" s="15" t="s">
        <v>749</v>
      </c>
      <c r="B21" s="15" t="s">
        <v>763</v>
      </c>
      <c r="C21" s="15" t="s">
        <v>764</v>
      </c>
      <c r="D21" s="15" t="n">
        <v>0.38</v>
      </c>
      <c r="E21" s="15" t="n">
        <v>0</v>
      </c>
      <c r="F21" s="15" t="s">
        <v>747</v>
      </c>
      <c r="G21" s="16"/>
      <c r="H21" s="17" t="n">
        <f aca="false">IFERROR(G21*(D21+E21),0)</f>
        <v>0</v>
      </c>
      <c r="I21" s="18" t="s">
        <v>736</v>
      </c>
      <c r="J21" s="18" t="s">
        <v>737</v>
      </c>
    </row>
    <row r="22" customFormat="false" ht="19.5" hidden="false" customHeight="true" outlineLevel="0" collapsed="false">
      <c r="A22" s="20" t="s">
        <v>749</v>
      </c>
      <c r="B22" s="20" t="s">
        <v>765</v>
      </c>
      <c r="C22" s="20" t="s">
        <v>766</v>
      </c>
      <c r="D22" s="20" t="n">
        <v>0.18</v>
      </c>
      <c r="E22" s="20" t="n">
        <v>0</v>
      </c>
      <c r="F22" s="20" t="s">
        <v>767</v>
      </c>
      <c r="G22" s="16"/>
      <c r="H22" s="17" t="n">
        <f aca="false">IFERROR(G22*(D22+E22),0)</f>
        <v>0</v>
      </c>
      <c r="I22" s="21" t="s">
        <v>736</v>
      </c>
      <c r="J22" s="21" t="s">
        <v>737</v>
      </c>
    </row>
    <row r="23" customFormat="false" ht="18" hidden="false" customHeight="true" outlineLevel="0" collapsed="false">
      <c r="A23" s="14" t="s">
        <v>768</v>
      </c>
      <c r="B23" s="14"/>
      <c r="C23" s="14"/>
      <c r="D23" s="14"/>
      <c r="E23" s="14"/>
      <c r="F23" s="14"/>
      <c r="G23" s="14"/>
      <c r="H23" s="14"/>
      <c r="I23" s="14"/>
      <c r="J23" s="14"/>
    </row>
    <row r="24" customFormat="false" ht="19.5" hidden="false" customHeight="true" outlineLevel="0" collapsed="false">
      <c r="A24" s="15" t="s">
        <v>769</v>
      </c>
      <c r="B24" s="15" t="s">
        <v>770</v>
      </c>
      <c r="C24" s="15" t="s">
        <v>771</v>
      </c>
      <c r="D24" s="15" t="n">
        <v>-0.95</v>
      </c>
      <c r="E24" s="15" t="n">
        <v>0</v>
      </c>
      <c r="F24" s="15" t="s">
        <v>772</v>
      </c>
      <c r="G24" s="16"/>
      <c r="H24" s="17" t="n">
        <f aca="false">IFERROR(G24*(D24+E24),0)</f>
        <v>-0</v>
      </c>
      <c r="I24" s="18" t="s">
        <v>736</v>
      </c>
      <c r="J24" s="18" t="s">
        <v>737</v>
      </c>
    </row>
    <row r="25" customFormat="false" ht="19.5" hidden="false" customHeight="true" outlineLevel="0" collapsed="false">
      <c r="A25" s="20" t="s">
        <v>769</v>
      </c>
      <c r="B25" s="20" t="s">
        <v>773</v>
      </c>
      <c r="C25" s="20" t="s">
        <v>774</v>
      </c>
      <c r="D25" s="20" t="n">
        <v>-2.8</v>
      </c>
      <c r="E25" s="20" t="n">
        <v>0</v>
      </c>
      <c r="F25" s="20" t="s">
        <v>772</v>
      </c>
      <c r="G25" s="16"/>
      <c r="H25" s="17" t="n">
        <f aca="false">IFERROR(G25*(D25+E25),0)</f>
        <v>-0</v>
      </c>
      <c r="I25" s="21" t="s">
        <v>736</v>
      </c>
      <c r="J25" s="21" t="s">
        <v>737</v>
      </c>
    </row>
    <row r="26" customFormat="false" ht="19.5" hidden="false" customHeight="true" outlineLevel="0" collapsed="false">
      <c r="A26" s="15" t="s">
        <v>769</v>
      </c>
      <c r="B26" s="15" t="s">
        <v>775</v>
      </c>
      <c r="C26" s="15" t="s">
        <v>776</v>
      </c>
      <c r="D26" s="15" t="n">
        <v>-2.5</v>
      </c>
      <c r="E26" s="15" t="n">
        <v>0</v>
      </c>
      <c r="F26" s="15" t="s">
        <v>772</v>
      </c>
      <c r="G26" s="16"/>
      <c r="H26" s="17" t="n">
        <f aca="false">IFERROR(G26*(D26+E26),0)</f>
        <v>-0</v>
      </c>
      <c r="I26" s="18" t="s">
        <v>736</v>
      </c>
      <c r="J26" s="18" t="s">
        <v>737</v>
      </c>
    </row>
    <row r="27" customFormat="false" ht="19.5" hidden="false" customHeight="true" outlineLevel="0" collapsed="false">
      <c r="A27" s="20" t="s">
        <v>769</v>
      </c>
      <c r="B27" s="20" t="s">
        <v>777</v>
      </c>
      <c r="C27" s="20" t="s">
        <v>778</v>
      </c>
      <c r="D27" s="20" t="n">
        <v>-0.82</v>
      </c>
      <c r="E27" s="20" t="n">
        <v>0</v>
      </c>
      <c r="F27" s="20" t="s">
        <v>772</v>
      </c>
      <c r="G27" s="16"/>
      <c r="H27" s="17" t="n">
        <f aca="false">IFERROR(G27*(D27+E27),0)</f>
        <v>-0</v>
      </c>
      <c r="I27" s="21" t="s">
        <v>736</v>
      </c>
      <c r="J27" s="21" t="s">
        <v>737</v>
      </c>
    </row>
    <row r="28" customFormat="false" ht="19.5" hidden="false" customHeight="true" outlineLevel="0" collapsed="false">
      <c r="A28" s="15" t="s">
        <v>769</v>
      </c>
      <c r="B28" s="15" t="s">
        <v>779</v>
      </c>
      <c r="C28" s="15" t="s">
        <v>780</v>
      </c>
      <c r="D28" s="15" t="n">
        <v>-0.25</v>
      </c>
      <c r="E28" s="15" t="n">
        <v>0</v>
      </c>
      <c r="F28" s="15" t="s">
        <v>772</v>
      </c>
      <c r="G28" s="16"/>
      <c r="H28" s="17" t="n">
        <f aca="false">IFERROR(G28*(D28+E28),0)</f>
        <v>-0</v>
      </c>
      <c r="I28" s="18" t="s">
        <v>736</v>
      </c>
      <c r="J28" s="18" t="s">
        <v>737</v>
      </c>
    </row>
    <row r="29" customFormat="false" ht="19.5" hidden="false" customHeight="true" outlineLevel="0" collapsed="false">
      <c r="A29" s="20" t="s">
        <v>769</v>
      </c>
      <c r="B29" s="20" t="s">
        <v>781</v>
      </c>
      <c r="C29" s="20" t="s">
        <v>782</v>
      </c>
      <c r="D29" s="20" t="n">
        <v>-0.2</v>
      </c>
      <c r="E29" s="20" t="n">
        <v>0</v>
      </c>
      <c r="F29" s="20" t="s">
        <v>772</v>
      </c>
      <c r="G29" s="16"/>
      <c r="H29" s="17" t="n">
        <f aca="false">IFERROR(G29*(D29+E29),0)</f>
        <v>-0</v>
      </c>
      <c r="I29" s="21" t="s">
        <v>736</v>
      </c>
      <c r="J29" s="21" t="s">
        <v>737</v>
      </c>
    </row>
    <row r="30" customFormat="false" ht="19.5" hidden="false" customHeight="true" outlineLevel="0" collapsed="false">
      <c r="A30" s="15" t="s">
        <v>769</v>
      </c>
      <c r="B30" s="15" t="s">
        <v>783</v>
      </c>
      <c r="C30" s="15" t="s">
        <v>784</v>
      </c>
      <c r="D30" s="15" t="n">
        <v>0.08</v>
      </c>
      <c r="E30" s="15" t="n">
        <v>0</v>
      </c>
      <c r="F30" s="15" t="s">
        <v>785</v>
      </c>
      <c r="G30" s="16"/>
      <c r="H30" s="17" t="n">
        <f aca="false">IFERROR(G30*(D30+E30),0)</f>
        <v>0</v>
      </c>
      <c r="I30" s="18" t="s">
        <v>736</v>
      </c>
      <c r="J30" s="18" t="s">
        <v>737</v>
      </c>
    </row>
    <row r="31" customFormat="false" ht="19.5" hidden="false" customHeight="true" outlineLevel="0" collapsed="false">
      <c r="A31" s="20" t="s">
        <v>769</v>
      </c>
      <c r="B31" s="20" t="s">
        <v>786</v>
      </c>
      <c r="C31" s="20" t="s">
        <v>787</v>
      </c>
      <c r="D31" s="20" t="n">
        <v>-0.45</v>
      </c>
      <c r="E31" s="20" t="n">
        <v>0</v>
      </c>
      <c r="F31" s="20" t="s">
        <v>772</v>
      </c>
      <c r="G31" s="16"/>
      <c r="H31" s="17" t="n">
        <f aca="false">IFERROR(G31*(D31+E31),0)</f>
        <v>-0</v>
      </c>
      <c r="I31" s="21" t="s">
        <v>736</v>
      </c>
      <c r="J31" s="21" t="s">
        <v>737</v>
      </c>
    </row>
    <row r="32" customFormat="false" ht="19.5" hidden="false" customHeight="true" outlineLevel="0" collapsed="false">
      <c r="A32" s="15" t="s">
        <v>769</v>
      </c>
      <c r="B32" s="15" t="s">
        <v>788</v>
      </c>
      <c r="C32" s="15" t="s">
        <v>789</v>
      </c>
      <c r="D32" s="15" t="n">
        <v>-0.12</v>
      </c>
      <c r="E32" s="15" t="n">
        <v>0</v>
      </c>
      <c r="F32" s="15" t="s">
        <v>772</v>
      </c>
      <c r="G32" s="16"/>
      <c r="H32" s="17" t="n">
        <f aca="false">IFERROR(G32*(D32+E32),0)</f>
        <v>-0</v>
      </c>
      <c r="I32" s="18" t="s">
        <v>736</v>
      </c>
      <c r="J32" s="18" t="s">
        <v>737</v>
      </c>
    </row>
    <row r="33" customFormat="false" ht="19.5" hidden="false" customHeight="true" outlineLevel="0" collapsed="false">
      <c r="A33" s="20" t="s">
        <v>769</v>
      </c>
      <c r="B33" s="20" t="s">
        <v>790</v>
      </c>
      <c r="C33" s="20" t="s">
        <v>791</v>
      </c>
      <c r="D33" s="20" t="n">
        <v>0.15</v>
      </c>
      <c r="E33" s="20" t="n">
        <v>0</v>
      </c>
      <c r="F33" s="20" t="s">
        <v>747</v>
      </c>
      <c r="G33" s="16"/>
      <c r="H33" s="17" t="n">
        <f aca="false">IFERROR(G33*(D33+E33),0)</f>
        <v>0</v>
      </c>
      <c r="I33" s="21" t="s">
        <v>736</v>
      </c>
      <c r="J33" s="21" t="s">
        <v>737</v>
      </c>
    </row>
    <row r="34" customFormat="false" ht="18" hidden="false" customHeight="true" outlineLevel="0" collapsed="false">
      <c r="A34" s="14" t="s">
        <v>792</v>
      </c>
      <c r="B34" s="14"/>
      <c r="C34" s="14"/>
      <c r="D34" s="14"/>
      <c r="E34" s="14"/>
      <c r="F34" s="14"/>
      <c r="G34" s="14"/>
      <c r="H34" s="14"/>
      <c r="I34" s="14"/>
      <c r="J34" s="14"/>
    </row>
    <row r="35" customFormat="false" ht="19.5" hidden="false" customHeight="true" outlineLevel="0" collapsed="false">
      <c r="A35" s="15" t="s">
        <v>793</v>
      </c>
      <c r="B35" s="15" t="s">
        <v>794</v>
      </c>
      <c r="C35" s="15" t="s">
        <v>795</v>
      </c>
      <c r="D35" s="15" t="n">
        <v>0.3</v>
      </c>
      <c r="E35" s="15" t="n">
        <v>0</v>
      </c>
      <c r="F35" s="15" t="s">
        <v>796</v>
      </c>
      <c r="G35" s="16"/>
      <c r="H35" s="17" t="n">
        <f aca="false">IFERROR(G35*(D35+E35),0)</f>
        <v>0</v>
      </c>
      <c r="I35" s="18" t="s">
        <v>736</v>
      </c>
      <c r="J35" s="18" t="s">
        <v>737</v>
      </c>
    </row>
    <row r="36" customFormat="false" ht="19.5" hidden="false" customHeight="true" outlineLevel="0" collapsed="false">
      <c r="A36" s="20" t="s">
        <v>793</v>
      </c>
      <c r="B36" s="20" t="s">
        <v>797</v>
      </c>
      <c r="C36" s="20" t="s">
        <v>798</v>
      </c>
      <c r="D36" s="20" t="n">
        <v>0.22</v>
      </c>
      <c r="E36" s="20" t="n">
        <v>0</v>
      </c>
      <c r="F36" s="20" t="s">
        <v>747</v>
      </c>
      <c r="G36" s="16"/>
      <c r="H36" s="17" t="n">
        <f aca="false">IFERROR(G36*(D36+E36),0)</f>
        <v>0</v>
      </c>
      <c r="I36" s="21" t="s">
        <v>736</v>
      </c>
      <c r="J36" s="21" t="s">
        <v>737</v>
      </c>
    </row>
    <row r="37" customFormat="false" ht="19.5" hidden="false" customHeight="true" outlineLevel="0" collapsed="false">
      <c r="A37" s="15" t="s">
        <v>793</v>
      </c>
      <c r="B37" s="15" t="s">
        <v>799</v>
      </c>
      <c r="C37" s="15" t="s">
        <v>798</v>
      </c>
      <c r="D37" s="15" t="n">
        <v>0.28</v>
      </c>
      <c r="E37" s="15" t="n">
        <v>0</v>
      </c>
      <c r="F37" s="15" t="s">
        <v>747</v>
      </c>
      <c r="G37" s="16"/>
      <c r="H37" s="17" t="n">
        <f aca="false">IFERROR(G37*(D37+E37),0)</f>
        <v>0</v>
      </c>
      <c r="I37" s="18" t="s">
        <v>736</v>
      </c>
      <c r="J37" s="18" t="s">
        <v>737</v>
      </c>
    </row>
    <row r="38" customFormat="false" ht="19.5" hidden="false" customHeight="true" outlineLevel="0" collapsed="false">
      <c r="A38" s="20" t="s">
        <v>793</v>
      </c>
      <c r="B38" s="20" t="s">
        <v>800</v>
      </c>
      <c r="C38" s="20" t="s">
        <v>801</v>
      </c>
      <c r="D38" s="20" t="n">
        <v>0.18</v>
      </c>
      <c r="E38" s="20" t="n">
        <v>0</v>
      </c>
      <c r="F38" s="20" t="s">
        <v>802</v>
      </c>
      <c r="G38" s="16"/>
      <c r="H38" s="17" t="n">
        <f aca="false">IFERROR(G38*(D38+E38),0)</f>
        <v>0</v>
      </c>
      <c r="I38" s="21" t="s">
        <v>736</v>
      </c>
      <c r="J38" s="21" t="s">
        <v>737</v>
      </c>
    </row>
    <row r="39" customFormat="false" ht="19.5" hidden="false" customHeight="true" outlineLevel="0" collapsed="false">
      <c r="A39" s="15" t="s">
        <v>793</v>
      </c>
      <c r="B39" s="15" t="s">
        <v>803</v>
      </c>
      <c r="C39" s="15" t="s">
        <v>804</v>
      </c>
      <c r="D39" s="15" t="n">
        <v>0.12</v>
      </c>
      <c r="E39" s="15" t="n">
        <v>0</v>
      </c>
      <c r="F39" s="15" t="s">
        <v>805</v>
      </c>
      <c r="G39" s="16"/>
      <c r="H39" s="17" t="n">
        <f aca="false">IFERROR(G39*(D39+E39),0)</f>
        <v>0</v>
      </c>
      <c r="I39" s="18" t="s">
        <v>736</v>
      </c>
      <c r="J39" s="18" t="s">
        <v>737</v>
      </c>
    </row>
    <row r="40" customFormat="false" ht="19.5" hidden="false" customHeight="true" outlineLevel="0" collapsed="false">
      <c r="A40" s="20" t="s">
        <v>793</v>
      </c>
      <c r="B40" s="20" t="s">
        <v>806</v>
      </c>
      <c r="C40" s="20" t="s">
        <v>807</v>
      </c>
      <c r="D40" s="20" t="n">
        <v>0.42</v>
      </c>
      <c r="E40" s="20" t="n">
        <v>0</v>
      </c>
      <c r="F40" s="20" t="s">
        <v>802</v>
      </c>
      <c r="G40" s="16"/>
      <c r="H40" s="17" t="n">
        <f aca="false">IFERROR(G40*(D40+E40),0)</f>
        <v>0</v>
      </c>
      <c r="I40" s="21" t="s">
        <v>736</v>
      </c>
      <c r="J40" s="21" t="s">
        <v>737</v>
      </c>
    </row>
    <row r="41" customFormat="false" ht="18" hidden="false" customHeight="true" outlineLevel="0" collapsed="false">
      <c r="A41" s="14" t="s">
        <v>808</v>
      </c>
      <c r="B41" s="14"/>
      <c r="C41" s="14"/>
      <c r="D41" s="14"/>
      <c r="E41" s="14"/>
      <c r="F41" s="14"/>
      <c r="G41" s="14"/>
      <c r="H41" s="14"/>
      <c r="I41" s="14"/>
      <c r="J41" s="14"/>
    </row>
    <row r="42" customFormat="false" ht="19.5" hidden="false" customHeight="true" outlineLevel="0" collapsed="false">
      <c r="A42" s="15" t="s">
        <v>809</v>
      </c>
      <c r="B42" s="15" t="s">
        <v>810</v>
      </c>
      <c r="C42" s="15" t="s">
        <v>811</v>
      </c>
      <c r="D42" s="15" t="n">
        <v>0.1</v>
      </c>
      <c r="E42" s="15" t="n">
        <v>0</v>
      </c>
      <c r="F42" s="15" t="s">
        <v>741</v>
      </c>
      <c r="G42" s="16"/>
      <c r="H42" s="17" t="n">
        <f aca="false">IFERROR(G42*(D42+E42),0)</f>
        <v>0</v>
      </c>
      <c r="I42" s="18" t="s">
        <v>736</v>
      </c>
      <c r="J42" s="18" t="s">
        <v>737</v>
      </c>
    </row>
    <row r="43" customFormat="false" ht="19.5" hidden="false" customHeight="true" outlineLevel="0" collapsed="false">
      <c r="A43" s="20" t="s">
        <v>809</v>
      </c>
      <c r="B43" s="20" t="s">
        <v>812</v>
      </c>
      <c r="C43" s="20" t="s">
        <v>813</v>
      </c>
      <c r="D43" s="20" t="n">
        <v>0.08</v>
      </c>
      <c r="E43" s="20" t="n">
        <v>0</v>
      </c>
      <c r="F43" s="20" t="s">
        <v>741</v>
      </c>
      <c r="G43" s="16"/>
      <c r="H43" s="17" t="n">
        <f aca="false">IFERROR(G43*(D43+E43),0)</f>
        <v>0</v>
      </c>
      <c r="I43" s="21" t="s">
        <v>736</v>
      </c>
      <c r="J43" s="21" t="s">
        <v>737</v>
      </c>
    </row>
    <row r="44" customFormat="false" ht="19.5" hidden="false" customHeight="true" outlineLevel="0" collapsed="false">
      <c r="A44" s="15" t="s">
        <v>809</v>
      </c>
      <c r="B44" s="15" t="s">
        <v>814</v>
      </c>
      <c r="C44" s="15" t="s">
        <v>815</v>
      </c>
      <c r="D44" s="15" t="n">
        <v>0.06</v>
      </c>
      <c r="E44" s="15" t="n">
        <v>0</v>
      </c>
      <c r="F44" s="15" t="s">
        <v>741</v>
      </c>
      <c r="G44" s="16"/>
      <c r="H44" s="17" t="n">
        <f aca="false">IFERROR(G44*(D44+E44),0)</f>
        <v>0</v>
      </c>
      <c r="I44" s="18" t="s">
        <v>736</v>
      </c>
      <c r="J44" s="18" t="s">
        <v>737</v>
      </c>
    </row>
    <row r="45" customFormat="false" ht="19.5" hidden="false" customHeight="true" outlineLevel="0" collapsed="false">
      <c r="A45" s="20" t="s">
        <v>809</v>
      </c>
      <c r="B45" s="20" t="s">
        <v>816</v>
      </c>
      <c r="C45" s="20" t="s">
        <v>811</v>
      </c>
      <c r="D45" s="20" t="n">
        <v>0.25</v>
      </c>
      <c r="E45" s="20" t="n">
        <v>0.08</v>
      </c>
      <c r="F45" s="20" t="s">
        <v>741</v>
      </c>
      <c r="G45" s="16"/>
      <c r="H45" s="17" t="n">
        <f aca="false">IFERROR(G45*(D45+E45),0)</f>
        <v>0</v>
      </c>
      <c r="I45" s="21" t="s">
        <v>736</v>
      </c>
      <c r="J45" s="21" t="s">
        <v>737</v>
      </c>
    </row>
    <row r="46" customFormat="false" ht="19.5" hidden="false" customHeight="true" outlineLevel="0" collapsed="false">
      <c r="A46" s="15" t="s">
        <v>809</v>
      </c>
      <c r="B46" s="15" t="s">
        <v>817</v>
      </c>
      <c r="C46" s="15" t="s">
        <v>818</v>
      </c>
      <c r="D46" s="15" t="n">
        <v>0.04</v>
      </c>
      <c r="E46" s="15" t="n">
        <v>0</v>
      </c>
      <c r="F46" s="15" t="s">
        <v>767</v>
      </c>
      <c r="G46" s="16"/>
      <c r="H46" s="17" t="n">
        <f aca="false">IFERROR(G46*(D46+E46),0)</f>
        <v>0</v>
      </c>
      <c r="I46" s="18" t="s">
        <v>736</v>
      </c>
      <c r="J46" s="18" t="s">
        <v>737</v>
      </c>
    </row>
    <row r="47" customFormat="false" ht="18" hidden="false" customHeight="true" outlineLevel="0" collapsed="false">
      <c r="A47" s="14" t="s">
        <v>819</v>
      </c>
      <c r="B47" s="14"/>
      <c r="C47" s="14"/>
      <c r="D47" s="14"/>
      <c r="E47" s="14"/>
      <c r="F47" s="14"/>
      <c r="G47" s="14"/>
      <c r="H47" s="14"/>
      <c r="I47" s="14"/>
      <c r="J47" s="14"/>
    </row>
    <row r="48" customFormat="false" ht="19.5" hidden="false" customHeight="true" outlineLevel="0" collapsed="false">
      <c r="A48" s="15" t="s">
        <v>820</v>
      </c>
      <c r="B48" s="15" t="s">
        <v>821</v>
      </c>
      <c r="C48" s="15" t="s">
        <v>822</v>
      </c>
      <c r="D48" s="15" t="n">
        <v>0.18</v>
      </c>
      <c r="E48" s="15" t="n">
        <v>0.05</v>
      </c>
      <c r="F48" s="15" t="s">
        <v>741</v>
      </c>
      <c r="G48" s="16"/>
      <c r="H48" s="17" t="n">
        <f aca="false">IFERROR(G48*(D48+E48),0)</f>
        <v>0</v>
      </c>
      <c r="I48" s="18" t="s">
        <v>736</v>
      </c>
      <c r="J48" s="18" t="s">
        <v>737</v>
      </c>
    </row>
    <row r="49" customFormat="false" ht="19.5" hidden="false" customHeight="true" outlineLevel="0" collapsed="false">
      <c r="A49" s="20" t="s">
        <v>820</v>
      </c>
      <c r="B49" s="20" t="s">
        <v>823</v>
      </c>
      <c r="C49" s="20" t="s">
        <v>824</v>
      </c>
      <c r="D49" s="20" t="n">
        <v>0.22</v>
      </c>
      <c r="E49" s="20" t="n">
        <v>0.08</v>
      </c>
      <c r="F49" s="20" t="s">
        <v>735</v>
      </c>
      <c r="G49" s="16"/>
      <c r="H49" s="17" t="n">
        <f aca="false">IFERROR(G49*(D49+E49),0)</f>
        <v>0</v>
      </c>
      <c r="I49" s="21" t="s">
        <v>736</v>
      </c>
      <c r="J49" s="21" t="s">
        <v>737</v>
      </c>
    </row>
    <row r="50" customFormat="false" ht="19.5" hidden="false" customHeight="true" outlineLevel="0" collapsed="false">
      <c r="A50" s="15" t="s">
        <v>820</v>
      </c>
      <c r="B50" s="15" t="s">
        <v>825</v>
      </c>
      <c r="C50" s="15" t="s">
        <v>826</v>
      </c>
      <c r="D50" s="15" t="n">
        <v>0.65</v>
      </c>
      <c r="E50" s="15" t="n">
        <v>0.18</v>
      </c>
      <c r="F50" s="15" t="s">
        <v>741</v>
      </c>
      <c r="G50" s="16"/>
      <c r="H50" s="17" t="n">
        <f aca="false">IFERROR(G50*(D50+E50),0)</f>
        <v>0</v>
      </c>
      <c r="I50" s="18" t="s">
        <v>736</v>
      </c>
      <c r="J50" s="18" t="s">
        <v>737</v>
      </c>
    </row>
    <row r="51" customFormat="false" ht="19.5" hidden="false" customHeight="true" outlineLevel="0" collapsed="false">
      <c r="A51" s="20" t="s">
        <v>820</v>
      </c>
      <c r="B51" s="20" t="s">
        <v>825</v>
      </c>
      <c r="C51" s="20" t="s">
        <v>749</v>
      </c>
      <c r="D51" s="20" t="n">
        <v>0.42</v>
      </c>
      <c r="E51" s="20" t="n">
        <v>0</v>
      </c>
      <c r="F51" s="20" t="s">
        <v>747</v>
      </c>
      <c r="G51" s="16"/>
      <c r="H51" s="17" t="n">
        <f aca="false">IFERROR(G51*(D51+E51),0)</f>
        <v>0</v>
      </c>
      <c r="I51" s="21" t="s">
        <v>736</v>
      </c>
      <c r="J51" s="21" t="s">
        <v>737</v>
      </c>
    </row>
    <row r="52" customFormat="false" ht="19.5" hidden="false" customHeight="true" outlineLevel="0" collapsed="false">
      <c r="A52" s="15" t="s">
        <v>820</v>
      </c>
      <c r="B52" s="15" t="s">
        <v>825</v>
      </c>
      <c r="C52" s="15" t="s">
        <v>827</v>
      </c>
      <c r="D52" s="15" t="n">
        <v>0.3</v>
      </c>
      <c r="E52" s="15" t="n">
        <v>0</v>
      </c>
      <c r="F52" s="15" t="s">
        <v>747</v>
      </c>
      <c r="G52" s="16"/>
      <c r="H52" s="17" t="n">
        <f aca="false">IFERROR(G52*(D52+E52),0)</f>
        <v>0</v>
      </c>
      <c r="I52" s="18" t="s">
        <v>736</v>
      </c>
      <c r="J52" s="18" t="s">
        <v>737</v>
      </c>
    </row>
    <row r="53" customFormat="false" ht="18" hidden="false" customHeight="true" outlineLevel="0" collapsed="false">
      <c r="A53" s="14" t="s">
        <v>828</v>
      </c>
      <c r="B53" s="14"/>
      <c r="C53" s="14"/>
      <c r="D53" s="14"/>
      <c r="E53" s="14"/>
      <c r="F53" s="14"/>
      <c r="G53" s="14"/>
      <c r="H53" s="14"/>
      <c r="I53" s="14"/>
      <c r="J53" s="14"/>
    </row>
    <row r="54" customFormat="false" ht="19.5" hidden="false" customHeight="true" outlineLevel="0" collapsed="false">
      <c r="A54" s="15" t="s">
        <v>829</v>
      </c>
      <c r="B54" s="15" t="s">
        <v>830</v>
      </c>
      <c r="C54" s="15" t="s">
        <v>831</v>
      </c>
      <c r="D54" s="15" t="n">
        <v>0</v>
      </c>
      <c r="E54" s="15" t="n">
        <v>0</v>
      </c>
      <c r="F54" s="15" t="s">
        <v>832</v>
      </c>
      <c r="G54" s="16"/>
      <c r="H54" s="17" t="n">
        <f aca="false">IFERROR(G54*(D54+E54),0)</f>
        <v>0</v>
      </c>
      <c r="I54" s="18" t="s">
        <v>736</v>
      </c>
      <c r="J54" s="18" t="s">
        <v>737</v>
      </c>
    </row>
    <row r="55" customFormat="false" ht="19.5" hidden="false" customHeight="true" outlineLevel="0" collapsed="false">
      <c r="A55" s="20" t="s">
        <v>829</v>
      </c>
      <c r="B55" s="20" t="s">
        <v>833</v>
      </c>
      <c r="C55" s="20" t="s">
        <v>834</v>
      </c>
      <c r="D55" s="20" t="n">
        <v>0</v>
      </c>
      <c r="E55" s="20" t="n">
        <v>0</v>
      </c>
      <c r="F55" s="20" t="s">
        <v>832</v>
      </c>
      <c r="G55" s="16"/>
      <c r="H55" s="17" t="n">
        <f aca="false">IFERROR(G55*(D55+E55),0)</f>
        <v>0</v>
      </c>
      <c r="I55" s="21" t="s">
        <v>736</v>
      </c>
      <c r="J55" s="21" t="s">
        <v>737</v>
      </c>
    </row>
    <row r="56" customFormat="false" ht="19.5" hidden="false" customHeight="true" outlineLevel="0" collapsed="false">
      <c r="A56" s="15" t="s">
        <v>829</v>
      </c>
      <c r="B56" s="15" t="s">
        <v>835</v>
      </c>
      <c r="C56" s="15" t="s">
        <v>836</v>
      </c>
      <c r="D56" s="15" t="n">
        <v>0</v>
      </c>
      <c r="E56" s="15" t="n">
        <v>0</v>
      </c>
      <c r="F56" s="15" t="s">
        <v>832</v>
      </c>
      <c r="G56" s="16"/>
      <c r="H56" s="17" t="n">
        <f aca="false">IFERROR(G56*(D56+E56),0)</f>
        <v>0</v>
      </c>
      <c r="I56" s="18" t="s">
        <v>736</v>
      </c>
      <c r="J56" s="18" t="s">
        <v>737</v>
      </c>
    </row>
    <row r="57" customFormat="false" ht="19.5" hidden="false" customHeight="true" outlineLevel="0" collapsed="false">
      <c r="A57" s="20" t="s">
        <v>829</v>
      </c>
      <c r="B57" s="20" t="s">
        <v>837</v>
      </c>
      <c r="C57" s="20" t="s">
        <v>838</v>
      </c>
      <c r="D57" s="20" t="n">
        <v>0</v>
      </c>
      <c r="E57" s="20" t="n">
        <v>0</v>
      </c>
      <c r="F57" s="20" t="s">
        <v>832</v>
      </c>
      <c r="G57" s="16"/>
      <c r="H57" s="17" t="n">
        <f aca="false">IFERROR(G57*(D57+E57),0)</f>
        <v>0</v>
      </c>
      <c r="I57" s="21" t="s">
        <v>736</v>
      </c>
      <c r="J57" s="21" t="s">
        <v>737</v>
      </c>
    </row>
    <row r="58" customFormat="false" ht="19.5" hidden="false" customHeight="true" outlineLevel="0" collapsed="false">
      <c r="A58" s="15" t="s">
        <v>829</v>
      </c>
      <c r="B58" s="15" t="s">
        <v>839</v>
      </c>
      <c r="C58" s="15" t="s">
        <v>840</v>
      </c>
      <c r="D58" s="15" t="n">
        <v>0.12</v>
      </c>
      <c r="E58" s="15" t="n">
        <v>0</v>
      </c>
      <c r="F58" s="15" t="s">
        <v>841</v>
      </c>
      <c r="G58" s="16"/>
      <c r="H58" s="17" t="n">
        <f aca="false">IFERROR(G58*(D58+E58),0)</f>
        <v>0</v>
      </c>
      <c r="I58" s="18" t="s">
        <v>736</v>
      </c>
      <c r="J58" s="18" t="s">
        <v>737</v>
      </c>
    </row>
    <row r="59" customFormat="false" ht="18" hidden="false" customHeight="true" outlineLevel="0" collapsed="false">
      <c r="A59" s="23" t="s">
        <v>430</v>
      </c>
      <c r="B59" s="23"/>
      <c r="C59" s="23"/>
      <c r="D59" s="23"/>
      <c r="E59" s="23"/>
      <c r="F59" s="23"/>
      <c r="G59" s="23"/>
      <c r="H59" s="24" t="n">
        <f aca="false">SUM(H6:H58)</f>
        <v>0</v>
      </c>
      <c r="I59" s="23"/>
      <c r="J59" s="23"/>
    </row>
    <row r="60" customFormat="false" ht="15.75" hidden="false" customHeight="true" outlineLevel="0" collapsed="false"/>
    <row r="61" customFormat="false" ht="15.75" hidden="false" customHeight="true" outlineLevel="0" collapsed="false">
      <c r="A61" s="25" t="s">
        <v>842</v>
      </c>
      <c r="B61" s="25"/>
      <c r="C61" s="25"/>
      <c r="D61" s="25"/>
      <c r="E61" s="25"/>
      <c r="F61" s="25"/>
      <c r="G61" s="25"/>
      <c r="H61" s="25"/>
      <c r="I61" s="25"/>
      <c r="J61" s="25"/>
    </row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A1:K1"/>
    <mergeCell ref="A2:K2"/>
    <mergeCell ref="A3:K3"/>
    <mergeCell ref="A6:J6"/>
    <mergeCell ref="A14:J14"/>
    <mergeCell ref="A23:J23"/>
    <mergeCell ref="A34:J34"/>
    <mergeCell ref="A41:J41"/>
    <mergeCell ref="A47:J47"/>
    <mergeCell ref="A53:J53"/>
    <mergeCell ref="A61:J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4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10" min="6" style="1" width="14"/>
    <col collapsed="false" customWidth="true" hidden="false" outlineLevel="0" max="14" min="11" style="1" width="28"/>
    <col collapsed="false" customWidth="true" hidden="false" outlineLevel="0" max="26" min="15" style="1" width="8.71"/>
  </cols>
  <sheetData>
    <row r="1" customFormat="false" ht="27.75" hidden="false" customHeight="true" outlineLevel="0" collapsed="false">
      <c r="A1" s="10" t="s">
        <v>843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30" hidden="false" customHeight="true" outlineLevel="0" collapsed="false">
      <c r="A2" s="11" t="s">
        <v>844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665</v>
      </c>
      <c r="B5" s="13" t="s">
        <v>845</v>
      </c>
      <c r="C5" s="13" t="s">
        <v>846</v>
      </c>
      <c r="D5" s="13" t="s">
        <v>847</v>
      </c>
      <c r="E5" s="13" t="s">
        <v>848</v>
      </c>
      <c r="F5" s="13" t="s">
        <v>849</v>
      </c>
      <c r="G5" s="13" t="s">
        <v>850</v>
      </c>
      <c r="H5" s="13" t="s">
        <v>851</v>
      </c>
      <c r="I5" s="13" t="s">
        <v>440</v>
      </c>
      <c r="J5" s="13" t="s">
        <v>97</v>
      </c>
      <c r="K5" s="13" t="s">
        <v>98</v>
      </c>
    </row>
    <row r="6" customFormat="false" ht="18" hidden="false" customHeight="true" outlineLevel="0" collapsed="false">
      <c r="A6" s="14" t="s">
        <v>852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customFormat="false" ht="19.5" hidden="false" customHeight="true" outlineLevel="0" collapsed="false">
      <c r="A7" s="15" t="s">
        <v>853</v>
      </c>
      <c r="B7" s="15" t="s">
        <v>854</v>
      </c>
      <c r="C7" s="15" t="s">
        <v>855</v>
      </c>
      <c r="D7" s="15" t="n">
        <v>0.00255</v>
      </c>
      <c r="E7" s="15" t="n">
        <v>1.9</v>
      </c>
      <c r="F7" s="16"/>
      <c r="G7" s="16"/>
      <c r="H7" s="17" t="n">
        <f aca="false">IFERROR(F7*G7,0)</f>
        <v>0</v>
      </c>
      <c r="I7" s="17" t="n">
        <f aca="false">IFERROR(H7*D7*E7,0)</f>
        <v>0</v>
      </c>
      <c r="J7" s="18" t="s">
        <v>856</v>
      </c>
      <c r="K7" s="18" t="s">
        <v>857</v>
      </c>
    </row>
    <row r="8" customFormat="false" ht="19.5" hidden="false" customHeight="true" outlineLevel="0" collapsed="false">
      <c r="A8" s="20" t="s">
        <v>853</v>
      </c>
      <c r="B8" s="20" t="s">
        <v>858</v>
      </c>
      <c r="C8" s="20" t="s">
        <v>855</v>
      </c>
      <c r="D8" s="20" t="n">
        <v>0.00255</v>
      </c>
      <c r="E8" s="20" t="n">
        <v>1.9</v>
      </c>
      <c r="F8" s="16"/>
      <c r="G8" s="16"/>
      <c r="H8" s="17" t="n">
        <f aca="false">IFERROR(F8*G8,0)</f>
        <v>0</v>
      </c>
      <c r="I8" s="17" t="n">
        <f aca="false">IFERROR(H8*D8*E8,0)</f>
        <v>0</v>
      </c>
      <c r="J8" s="21" t="s">
        <v>856</v>
      </c>
      <c r="K8" s="21" t="s">
        <v>857</v>
      </c>
    </row>
    <row r="9" customFormat="false" ht="19.5" hidden="false" customHeight="true" outlineLevel="0" collapsed="false">
      <c r="A9" s="15" t="s">
        <v>853</v>
      </c>
      <c r="B9" s="15" t="s">
        <v>859</v>
      </c>
      <c r="C9" s="15" t="s">
        <v>855</v>
      </c>
      <c r="D9" s="15" t="n">
        <v>0.00255</v>
      </c>
      <c r="E9" s="15" t="n">
        <v>1.9</v>
      </c>
      <c r="F9" s="16"/>
      <c r="G9" s="16"/>
      <c r="H9" s="17" t="n">
        <f aca="false">IFERROR(F9*G9,0)</f>
        <v>0</v>
      </c>
      <c r="I9" s="17" t="n">
        <f aca="false">IFERROR(H9*D9*E9,0)</f>
        <v>0</v>
      </c>
      <c r="J9" s="18" t="s">
        <v>856</v>
      </c>
      <c r="K9" s="18" t="s">
        <v>857</v>
      </c>
    </row>
    <row r="10" customFormat="false" ht="19.5" hidden="false" customHeight="true" outlineLevel="0" collapsed="false">
      <c r="A10" s="20" t="s">
        <v>853</v>
      </c>
      <c r="B10" s="20" t="s">
        <v>860</v>
      </c>
      <c r="C10" s="20" t="s">
        <v>861</v>
      </c>
      <c r="D10" s="20" t="n">
        <v>0.0051</v>
      </c>
      <c r="E10" s="20" t="n">
        <v>1.9</v>
      </c>
      <c r="F10" s="16"/>
      <c r="G10" s="16"/>
      <c r="H10" s="17" t="n">
        <f aca="false">IFERROR(F10*G10,0)</f>
        <v>0</v>
      </c>
      <c r="I10" s="17" t="n">
        <f aca="false">IFERROR(H10*D10*E10,0)</f>
        <v>0</v>
      </c>
      <c r="J10" s="21" t="s">
        <v>856</v>
      </c>
      <c r="K10" s="21" t="s">
        <v>857</v>
      </c>
    </row>
    <row r="11" customFormat="false" ht="18" hidden="false" customHeight="true" outlineLevel="0" collapsed="false">
      <c r="A11" s="14" t="s">
        <v>862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19.5" hidden="false" customHeight="true" outlineLevel="0" collapsed="false">
      <c r="A12" s="15" t="s">
        <v>853</v>
      </c>
      <c r="B12" s="15" t="s">
        <v>863</v>
      </c>
      <c r="C12" s="15" t="s">
        <v>855</v>
      </c>
      <c r="D12" s="15" t="n">
        <v>0.00255</v>
      </c>
      <c r="E12" s="15" t="n">
        <v>1.9</v>
      </c>
      <c r="F12" s="16"/>
      <c r="G12" s="16"/>
      <c r="H12" s="17" t="n">
        <f aca="false">IFERROR(F12*G12,0)</f>
        <v>0</v>
      </c>
      <c r="I12" s="17" t="n">
        <f aca="false">IFERROR(H12*D12*E12,0)</f>
        <v>0</v>
      </c>
      <c r="J12" s="18" t="s">
        <v>856</v>
      </c>
      <c r="K12" s="18" t="s">
        <v>857</v>
      </c>
    </row>
    <row r="13" customFormat="false" ht="19.5" hidden="false" customHeight="true" outlineLevel="0" collapsed="false">
      <c r="A13" s="20" t="s">
        <v>853</v>
      </c>
      <c r="B13" s="20" t="s">
        <v>864</v>
      </c>
      <c r="C13" s="20" t="s">
        <v>865</v>
      </c>
      <c r="D13" s="20" t="n">
        <v>0.00561</v>
      </c>
      <c r="E13" s="20" t="n">
        <v>1.9</v>
      </c>
      <c r="F13" s="16"/>
      <c r="G13" s="16"/>
      <c r="H13" s="17" t="n">
        <f aca="false">IFERROR(F13*G13,0)</f>
        <v>0</v>
      </c>
      <c r="I13" s="17" t="n">
        <f aca="false">IFERROR(H13*D13*E13,0)</f>
        <v>0</v>
      </c>
      <c r="J13" s="21" t="s">
        <v>856</v>
      </c>
      <c r="K13" s="21" t="s">
        <v>857</v>
      </c>
    </row>
    <row r="14" customFormat="false" ht="19.5" hidden="false" customHeight="true" outlineLevel="0" collapsed="false">
      <c r="A14" s="15" t="s">
        <v>853</v>
      </c>
      <c r="B14" s="15" t="s">
        <v>866</v>
      </c>
      <c r="C14" s="15" t="s">
        <v>855</v>
      </c>
      <c r="D14" s="15" t="n">
        <v>0.00195</v>
      </c>
      <c r="E14" s="15" t="n">
        <v>1.9</v>
      </c>
      <c r="F14" s="16"/>
      <c r="G14" s="16"/>
      <c r="H14" s="17" t="n">
        <f aca="false">IFERROR(F14*G14,0)</f>
        <v>0</v>
      </c>
      <c r="I14" s="17" t="n">
        <f aca="false">IFERROR(H14*D14*E14,0)</f>
        <v>0</v>
      </c>
      <c r="J14" s="18" t="s">
        <v>856</v>
      </c>
      <c r="K14" s="18" t="s">
        <v>857</v>
      </c>
    </row>
    <row r="15" customFormat="false" ht="19.5" hidden="false" customHeight="true" outlineLevel="0" collapsed="false">
      <c r="A15" s="20" t="s">
        <v>853</v>
      </c>
      <c r="B15" s="20" t="s">
        <v>867</v>
      </c>
      <c r="C15" s="20" t="s">
        <v>865</v>
      </c>
      <c r="D15" s="20" t="n">
        <v>0.00429</v>
      </c>
      <c r="E15" s="20" t="n">
        <v>1.9</v>
      </c>
      <c r="F15" s="16"/>
      <c r="G15" s="16"/>
      <c r="H15" s="17" t="n">
        <f aca="false">IFERROR(F15*G15,0)</f>
        <v>0</v>
      </c>
      <c r="I15" s="17" t="n">
        <f aca="false">IFERROR(H15*D15*E15,0)</f>
        <v>0</v>
      </c>
      <c r="J15" s="21" t="s">
        <v>856</v>
      </c>
      <c r="K15" s="21" t="s">
        <v>857</v>
      </c>
    </row>
    <row r="16" customFormat="false" ht="19.5" hidden="false" customHeight="true" outlineLevel="0" collapsed="false">
      <c r="A16" s="15" t="s">
        <v>853</v>
      </c>
      <c r="B16" s="15" t="s">
        <v>868</v>
      </c>
      <c r="C16" s="15" t="s">
        <v>855</v>
      </c>
      <c r="D16" s="15" t="n">
        <v>0.00195</v>
      </c>
      <c r="E16" s="15" t="n">
        <v>1.9</v>
      </c>
      <c r="F16" s="16"/>
      <c r="G16" s="16"/>
      <c r="H16" s="17" t="n">
        <f aca="false">IFERROR(F16*G16,0)</f>
        <v>0</v>
      </c>
      <c r="I16" s="17" t="n">
        <f aca="false">IFERROR(H16*D16*E16,0)</f>
        <v>0</v>
      </c>
      <c r="J16" s="18" t="s">
        <v>856</v>
      </c>
      <c r="K16" s="18" t="s">
        <v>857</v>
      </c>
    </row>
    <row r="17" customFormat="false" ht="19.5" hidden="false" customHeight="true" outlineLevel="0" collapsed="false">
      <c r="A17" s="20" t="s">
        <v>853</v>
      </c>
      <c r="B17" s="20" t="s">
        <v>869</v>
      </c>
      <c r="C17" s="20" t="s">
        <v>865</v>
      </c>
      <c r="D17" s="20" t="n">
        <v>0.00429</v>
      </c>
      <c r="E17" s="20" t="n">
        <v>1.9</v>
      </c>
      <c r="F17" s="16"/>
      <c r="G17" s="16"/>
      <c r="H17" s="17" t="n">
        <f aca="false">IFERROR(F17*G17,0)</f>
        <v>0</v>
      </c>
      <c r="I17" s="17" t="n">
        <f aca="false">IFERROR(H17*D17*E17,0)</f>
        <v>0</v>
      </c>
      <c r="J17" s="21" t="s">
        <v>856</v>
      </c>
      <c r="K17" s="21" t="s">
        <v>857</v>
      </c>
    </row>
    <row r="18" customFormat="false" ht="19.5" hidden="false" customHeight="true" outlineLevel="0" collapsed="false">
      <c r="A18" s="15" t="s">
        <v>853</v>
      </c>
      <c r="B18" s="15" t="s">
        <v>869</v>
      </c>
      <c r="C18" s="15" t="s">
        <v>870</v>
      </c>
      <c r="D18" s="15" t="n">
        <v>0.0078</v>
      </c>
      <c r="E18" s="15" t="n">
        <v>1.9</v>
      </c>
      <c r="F18" s="16"/>
      <c r="G18" s="16"/>
      <c r="H18" s="17" t="n">
        <f aca="false">IFERROR(F18*G18,0)</f>
        <v>0</v>
      </c>
      <c r="I18" s="17" t="n">
        <f aca="false">IFERROR(H18*D18*E18,0)</f>
        <v>0</v>
      </c>
      <c r="J18" s="18" t="s">
        <v>856</v>
      </c>
      <c r="K18" s="18" t="s">
        <v>857</v>
      </c>
    </row>
    <row r="19" customFormat="false" ht="19.5" hidden="false" customHeight="true" outlineLevel="0" collapsed="false">
      <c r="A19" s="20" t="s">
        <v>853</v>
      </c>
      <c r="B19" s="20" t="s">
        <v>871</v>
      </c>
      <c r="C19" s="20" t="s">
        <v>872</v>
      </c>
      <c r="D19" s="20" t="n">
        <v>0.00293</v>
      </c>
      <c r="E19" s="20" t="n">
        <v>1.9</v>
      </c>
      <c r="F19" s="16"/>
      <c r="G19" s="16"/>
      <c r="H19" s="17" t="n">
        <f aca="false">IFERROR(F19*G19,0)</f>
        <v>0</v>
      </c>
      <c r="I19" s="17" t="n">
        <f aca="false">IFERROR(H19*D19*E19,0)</f>
        <v>0</v>
      </c>
      <c r="J19" s="21" t="s">
        <v>856</v>
      </c>
      <c r="K19" s="21" t="s">
        <v>857</v>
      </c>
    </row>
    <row r="20" customFormat="false" ht="18" hidden="false" customHeight="true" outlineLevel="0" collapsed="false">
      <c r="A20" s="14" t="s">
        <v>873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customFormat="false" ht="19.5" hidden="false" customHeight="true" outlineLevel="0" collapsed="false">
      <c r="A21" s="15" t="s">
        <v>874</v>
      </c>
      <c r="B21" s="15" t="s">
        <v>875</v>
      </c>
      <c r="C21" s="15" t="s">
        <v>876</v>
      </c>
      <c r="D21" s="15" t="n">
        <v>3.54E-005</v>
      </c>
      <c r="E21" s="15" t="n">
        <v>1</v>
      </c>
      <c r="F21" s="16"/>
      <c r="G21" s="16"/>
      <c r="H21" s="17" t="n">
        <f aca="false">IFERROR(F21*G21,0)</f>
        <v>0</v>
      </c>
      <c r="I21" s="17" t="n">
        <f aca="false">IFERROR(H21*D21*E21,0)</f>
        <v>0</v>
      </c>
      <c r="J21" s="18" t="s">
        <v>856</v>
      </c>
      <c r="K21" s="18" t="s">
        <v>877</v>
      </c>
    </row>
    <row r="22" customFormat="false" ht="19.5" hidden="false" customHeight="true" outlineLevel="0" collapsed="false">
      <c r="A22" s="20" t="s">
        <v>874</v>
      </c>
      <c r="B22" s="20" t="s">
        <v>875</v>
      </c>
      <c r="C22" s="20" t="s">
        <v>878</v>
      </c>
      <c r="D22" s="20" t="n">
        <v>3.54E-005</v>
      </c>
      <c r="E22" s="20" t="n">
        <v>1</v>
      </c>
      <c r="F22" s="16"/>
      <c r="G22" s="16"/>
      <c r="H22" s="17" t="n">
        <f aca="false">IFERROR(F22*G22,0)</f>
        <v>0</v>
      </c>
      <c r="I22" s="17" t="n">
        <f aca="false">IFERROR(H22*D22*E22,0)</f>
        <v>0</v>
      </c>
      <c r="J22" s="21" t="s">
        <v>856</v>
      </c>
      <c r="K22" s="21" t="s">
        <v>877</v>
      </c>
    </row>
    <row r="23" customFormat="false" ht="19.5" hidden="false" customHeight="true" outlineLevel="0" collapsed="false">
      <c r="A23" s="15" t="s">
        <v>874</v>
      </c>
      <c r="B23" s="15" t="s">
        <v>875</v>
      </c>
      <c r="C23" s="15" t="s">
        <v>879</v>
      </c>
      <c r="D23" s="15" t="n">
        <v>3.54E-005</v>
      </c>
      <c r="E23" s="15" t="n">
        <v>1</v>
      </c>
      <c r="F23" s="16"/>
      <c r="G23" s="16"/>
      <c r="H23" s="17" t="n">
        <f aca="false">IFERROR(F23*G23,0)</f>
        <v>0</v>
      </c>
      <c r="I23" s="17" t="n">
        <f aca="false">IFERROR(H23*D23*E23,0)</f>
        <v>0</v>
      </c>
      <c r="J23" s="18" t="s">
        <v>856</v>
      </c>
      <c r="K23" s="18" t="s">
        <v>877</v>
      </c>
    </row>
    <row r="24" customFormat="false" ht="19.5" hidden="false" customHeight="true" outlineLevel="0" collapsed="false">
      <c r="A24" s="20" t="s">
        <v>874</v>
      </c>
      <c r="B24" s="20" t="s">
        <v>880</v>
      </c>
      <c r="C24" s="20" t="s">
        <v>881</v>
      </c>
      <c r="D24" s="20" t="n">
        <v>4.1E-006</v>
      </c>
      <c r="E24" s="20" t="n">
        <v>1</v>
      </c>
      <c r="F24" s="16"/>
      <c r="G24" s="16"/>
      <c r="H24" s="17" t="n">
        <f aca="false">IFERROR(F24*G24,0)</f>
        <v>0</v>
      </c>
      <c r="I24" s="17" t="n">
        <f aca="false">IFERROR(H24*D24*E24,0)</f>
        <v>0</v>
      </c>
      <c r="J24" s="21" t="s">
        <v>856</v>
      </c>
      <c r="K24" s="21" t="s">
        <v>877</v>
      </c>
    </row>
    <row r="25" customFormat="false" ht="19.5" hidden="false" customHeight="true" outlineLevel="0" collapsed="false">
      <c r="A25" s="15" t="s">
        <v>874</v>
      </c>
      <c r="B25" s="15" t="s">
        <v>882</v>
      </c>
      <c r="C25" s="15" t="s">
        <v>883</v>
      </c>
      <c r="D25" s="15" t="n">
        <v>4.1E-006</v>
      </c>
      <c r="E25" s="15" t="n">
        <v>1</v>
      </c>
      <c r="F25" s="16"/>
      <c r="G25" s="16"/>
      <c r="H25" s="17" t="n">
        <f aca="false">IFERROR(F25*G25,0)</f>
        <v>0</v>
      </c>
      <c r="I25" s="17" t="n">
        <f aca="false">IFERROR(H25*D25*E25,0)</f>
        <v>0</v>
      </c>
      <c r="J25" s="18" t="s">
        <v>856</v>
      </c>
      <c r="K25" s="18" t="s">
        <v>877</v>
      </c>
    </row>
    <row r="26" customFormat="false" ht="19.5" hidden="false" customHeight="true" outlineLevel="0" collapsed="false">
      <c r="A26" s="20" t="s">
        <v>874</v>
      </c>
      <c r="B26" s="20" t="s">
        <v>884</v>
      </c>
      <c r="C26" s="20" t="s">
        <v>885</v>
      </c>
      <c r="D26" s="20" t="n">
        <v>3.54E-005</v>
      </c>
      <c r="E26" s="20" t="n">
        <v>1</v>
      </c>
      <c r="F26" s="16"/>
      <c r="G26" s="16"/>
      <c r="H26" s="17" t="n">
        <f aca="false">IFERROR(F26*G26,0)</f>
        <v>0</v>
      </c>
      <c r="I26" s="17" t="n">
        <f aca="false">IFERROR(H26*D26*E26,0)</f>
        <v>0</v>
      </c>
      <c r="J26" s="21" t="s">
        <v>856</v>
      </c>
      <c r="K26" s="21" t="s">
        <v>877</v>
      </c>
    </row>
    <row r="27" customFormat="false" ht="18" hidden="false" customHeight="true" outlineLevel="0" collapsed="false">
      <c r="A27" s="14" t="s">
        <v>886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customFormat="false" ht="19.5" hidden="false" customHeight="true" outlineLevel="0" collapsed="false">
      <c r="A28" s="15" t="s">
        <v>874</v>
      </c>
      <c r="B28" s="15" t="s">
        <v>887</v>
      </c>
      <c r="C28" s="15" t="s">
        <v>855</v>
      </c>
      <c r="D28" s="15" t="n">
        <v>3.5E-006</v>
      </c>
      <c r="E28" s="15" t="n">
        <v>1</v>
      </c>
      <c r="F28" s="16"/>
      <c r="G28" s="16"/>
      <c r="H28" s="17" t="n">
        <f aca="false">IFERROR(F28*G28,0)</f>
        <v>0</v>
      </c>
      <c r="I28" s="17" t="n">
        <f aca="false">IFERROR(H28*D28*E28,0)</f>
        <v>0</v>
      </c>
      <c r="J28" s="18" t="s">
        <v>856</v>
      </c>
      <c r="K28" s="18" t="s">
        <v>877</v>
      </c>
    </row>
    <row r="29" customFormat="false" ht="19.5" hidden="false" customHeight="true" outlineLevel="0" collapsed="false">
      <c r="A29" s="20" t="s">
        <v>874</v>
      </c>
      <c r="B29" s="20" t="s">
        <v>888</v>
      </c>
      <c r="C29" s="20" t="s">
        <v>855</v>
      </c>
      <c r="D29" s="20" t="n">
        <v>1.6E-005</v>
      </c>
      <c r="E29" s="20" t="n">
        <v>1</v>
      </c>
      <c r="F29" s="16"/>
      <c r="G29" s="16"/>
      <c r="H29" s="17" t="n">
        <f aca="false">IFERROR(F29*G29,0)</f>
        <v>0</v>
      </c>
      <c r="I29" s="17" t="n">
        <f aca="false">IFERROR(H29*D29*E29,0)</f>
        <v>0</v>
      </c>
      <c r="J29" s="21" t="s">
        <v>856</v>
      </c>
      <c r="K29" s="21" t="s">
        <v>877</v>
      </c>
    </row>
    <row r="30" customFormat="false" ht="18" hidden="false" customHeight="true" outlineLevel="0" collapsed="false">
      <c r="A30" s="14" t="s">
        <v>889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customFormat="false" ht="19.5" hidden="false" customHeight="true" outlineLevel="0" collapsed="false">
      <c r="A31" s="15" t="s">
        <v>890</v>
      </c>
      <c r="B31" s="15" t="s">
        <v>891</v>
      </c>
      <c r="C31" s="15" t="s">
        <v>892</v>
      </c>
      <c r="D31" s="15" t="n">
        <v>0.000192</v>
      </c>
      <c r="E31" s="15" t="n">
        <v>1</v>
      </c>
      <c r="F31" s="16"/>
      <c r="G31" s="16"/>
      <c r="H31" s="17" t="n">
        <f aca="false">IFERROR(F31*G31,0)</f>
        <v>0</v>
      </c>
      <c r="I31" s="17" t="n">
        <f aca="false">IFERROR(H31*D31*E31,0)</f>
        <v>0</v>
      </c>
      <c r="J31" s="18" t="s">
        <v>856</v>
      </c>
      <c r="K31" s="18" t="s">
        <v>877</v>
      </c>
    </row>
    <row r="32" customFormat="false" ht="19.5" hidden="false" customHeight="true" outlineLevel="0" collapsed="false">
      <c r="A32" s="20" t="s">
        <v>890</v>
      </c>
      <c r="B32" s="20" t="s">
        <v>893</v>
      </c>
      <c r="C32" s="20" t="s">
        <v>892</v>
      </c>
      <c r="D32" s="20" t="n">
        <v>0.000168</v>
      </c>
      <c r="E32" s="20" t="n">
        <v>1</v>
      </c>
      <c r="F32" s="16"/>
      <c r="G32" s="16"/>
      <c r="H32" s="17" t="n">
        <f aca="false">IFERROR(F32*G32,0)</f>
        <v>0</v>
      </c>
      <c r="I32" s="17" t="n">
        <f aca="false">IFERROR(H32*D32*E32,0)</f>
        <v>0</v>
      </c>
      <c r="J32" s="21" t="s">
        <v>856</v>
      </c>
      <c r="K32" s="21" t="s">
        <v>877</v>
      </c>
    </row>
    <row r="33" customFormat="false" ht="19.5" hidden="false" customHeight="true" outlineLevel="0" collapsed="false">
      <c r="A33" s="15" t="s">
        <v>890</v>
      </c>
      <c r="B33" s="15" t="s">
        <v>894</v>
      </c>
      <c r="C33" s="15" t="s">
        <v>892</v>
      </c>
      <c r="D33" s="15" t="n">
        <v>0.000108</v>
      </c>
      <c r="E33" s="15" t="n">
        <v>1</v>
      </c>
      <c r="F33" s="16"/>
      <c r="G33" s="16"/>
      <c r="H33" s="17" t="n">
        <f aca="false">IFERROR(F33*G33,0)</f>
        <v>0</v>
      </c>
      <c r="I33" s="17" t="n">
        <f aca="false">IFERROR(H33*D33*E33,0)</f>
        <v>0</v>
      </c>
      <c r="J33" s="18" t="s">
        <v>856</v>
      </c>
      <c r="K33" s="18" t="s">
        <v>877</v>
      </c>
    </row>
    <row r="34" customFormat="false" ht="19.5" hidden="false" customHeight="true" outlineLevel="0" collapsed="false">
      <c r="A34" s="20" t="s">
        <v>890</v>
      </c>
      <c r="B34" s="20" t="s">
        <v>895</v>
      </c>
      <c r="C34" s="20" t="s">
        <v>892</v>
      </c>
      <c r="D34" s="20" t="n">
        <v>5.12E-005</v>
      </c>
      <c r="E34" s="20" t="n">
        <v>1</v>
      </c>
      <c r="F34" s="16"/>
      <c r="G34" s="16"/>
      <c r="H34" s="17" t="n">
        <f aca="false">IFERROR(F34*G34,0)</f>
        <v>0</v>
      </c>
      <c r="I34" s="17" t="n">
        <f aca="false">IFERROR(H34*D34*E34,0)</f>
        <v>0</v>
      </c>
      <c r="J34" s="21" t="s">
        <v>856</v>
      </c>
      <c r="K34" s="21" t="s">
        <v>877</v>
      </c>
    </row>
    <row r="35" customFormat="false" ht="19.5" hidden="false" customHeight="true" outlineLevel="0" collapsed="false">
      <c r="A35" s="15" t="s">
        <v>890</v>
      </c>
      <c r="B35" s="15" t="s">
        <v>896</v>
      </c>
      <c r="C35" s="15" t="s">
        <v>892</v>
      </c>
      <c r="D35" s="15" t="n">
        <v>0.000105</v>
      </c>
      <c r="E35" s="15" t="n">
        <v>1</v>
      </c>
      <c r="F35" s="16"/>
      <c r="G35" s="16"/>
      <c r="H35" s="17" t="n">
        <f aca="false">IFERROR(F35*G35,0)</f>
        <v>0</v>
      </c>
      <c r="I35" s="17" t="n">
        <f aca="false">IFERROR(H35*D35*E35,0)</f>
        <v>0</v>
      </c>
      <c r="J35" s="18" t="s">
        <v>856</v>
      </c>
      <c r="K35" s="18" t="s">
        <v>877</v>
      </c>
    </row>
    <row r="36" customFormat="false" ht="19.5" hidden="false" customHeight="true" outlineLevel="0" collapsed="false">
      <c r="A36" s="20" t="s">
        <v>890</v>
      </c>
      <c r="B36" s="20" t="s">
        <v>897</v>
      </c>
      <c r="C36" s="20" t="s">
        <v>898</v>
      </c>
      <c r="D36" s="20" t="n">
        <v>0.000168</v>
      </c>
      <c r="E36" s="20" t="n">
        <v>1</v>
      </c>
      <c r="F36" s="16"/>
      <c r="G36" s="16"/>
      <c r="H36" s="17" t="n">
        <f aca="false">IFERROR(F36*G36,0)</f>
        <v>0</v>
      </c>
      <c r="I36" s="17" t="n">
        <f aca="false">IFERROR(H36*D36*E36,0)</f>
        <v>0</v>
      </c>
      <c r="J36" s="21" t="s">
        <v>856</v>
      </c>
      <c r="K36" s="21" t="s">
        <v>877</v>
      </c>
    </row>
    <row r="37" customFormat="false" ht="19.5" hidden="false" customHeight="true" outlineLevel="0" collapsed="false">
      <c r="A37" s="15" t="s">
        <v>890</v>
      </c>
      <c r="B37" s="15" t="s">
        <v>899</v>
      </c>
      <c r="C37" s="15" t="s">
        <v>898</v>
      </c>
      <c r="D37" s="15" t="n">
        <v>9.6E-005</v>
      </c>
      <c r="E37" s="15" t="n">
        <v>1</v>
      </c>
      <c r="F37" s="16"/>
      <c r="G37" s="16"/>
      <c r="H37" s="17" t="n">
        <f aca="false">IFERROR(F37*G37,0)</f>
        <v>0</v>
      </c>
      <c r="I37" s="17" t="n">
        <f aca="false">IFERROR(H37*D37*E37,0)</f>
        <v>0</v>
      </c>
      <c r="J37" s="18" t="s">
        <v>856</v>
      </c>
      <c r="K37" s="18" t="s">
        <v>877</v>
      </c>
    </row>
    <row r="38" customFormat="false" ht="19.5" hidden="false" customHeight="true" outlineLevel="0" collapsed="false">
      <c r="A38" s="20" t="s">
        <v>890</v>
      </c>
      <c r="B38" s="20" t="s">
        <v>900</v>
      </c>
      <c r="C38" s="20" t="s">
        <v>898</v>
      </c>
      <c r="D38" s="20" t="n">
        <v>6.4E-005</v>
      </c>
      <c r="E38" s="20" t="n">
        <v>1</v>
      </c>
      <c r="F38" s="16"/>
      <c r="G38" s="16"/>
      <c r="H38" s="17" t="n">
        <f aca="false">IFERROR(F38*G38,0)</f>
        <v>0</v>
      </c>
      <c r="I38" s="17" t="n">
        <f aca="false">IFERROR(H38*D38*E38,0)</f>
        <v>0</v>
      </c>
      <c r="J38" s="21" t="s">
        <v>856</v>
      </c>
      <c r="K38" s="21" t="s">
        <v>877</v>
      </c>
    </row>
    <row r="39" customFormat="false" ht="18" hidden="false" customHeight="true" outlineLevel="0" collapsed="false">
      <c r="A39" s="14" t="s">
        <v>901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customFormat="false" ht="19.5" hidden="false" customHeight="true" outlineLevel="0" collapsed="false">
      <c r="A40" s="15" t="s">
        <v>902</v>
      </c>
      <c r="B40" s="15" t="s">
        <v>903</v>
      </c>
      <c r="C40" s="15" t="s">
        <v>898</v>
      </c>
      <c r="D40" s="15" t="n">
        <v>8.9E-005</v>
      </c>
      <c r="E40" s="15" t="n">
        <v>1</v>
      </c>
      <c r="F40" s="16"/>
      <c r="G40" s="16"/>
      <c r="H40" s="17" t="n">
        <f aca="false">IFERROR(F40*G40,0)</f>
        <v>0</v>
      </c>
      <c r="I40" s="17" t="n">
        <f aca="false">IFERROR(H40*D40*E40,0)</f>
        <v>0</v>
      </c>
      <c r="J40" s="18" t="s">
        <v>856</v>
      </c>
      <c r="K40" s="18" t="s">
        <v>877</v>
      </c>
    </row>
    <row r="41" customFormat="false" ht="19.5" hidden="false" customHeight="true" outlineLevel="0" collapsed="false">
      <c r="A41" s="20" t="s">
        <v>902</v>
      </c>
      <c r="B41" s="20" t="s">
        <v>904</v>
      </c>
      <c r="C41" s="20" t="s">
        <v>898</v>
      </c>
      <c r="D41" s="20" t="n">
        <v>6.2E-005</v>
      </c>
      <c r="E41" s="20" t="n">
        <v>1</v>
      </c>
      <c r="F41" s="16"/>
      <c r="G41" s="16"/>
      <c r="H41" s="17" t="n">
        <f aca="false">IFERROR(F41*G41,0)</f>
        <v>0</v>
      </c>
      <c r="I41" s="17" t="n">
        <f aca="false">IFERROR(H41*D41*E41,0)</f>
        <v>0</v>
      </c>
      <c r="J41" s="21" t="s">
        <v>856</v>
      </c>
      <c r="K41" s="21" t="s">
        <v>877</v>
      </c>
    </row>
    <row r="42" customFormat="false" ht="19.5" hidden="false" customHeight="true" outlineLevel="0" collapsed="false">
      <c r="A42" s="15" t="s">
        <v>902</v>
      </c>
      <c r="B42" s="15" t="s">
        <v>905</v>
      </c>
      <c r="C42" s="15" t="s">
        <v>898</v>
      </c>
      <c r="D42" s="15" t="n">
        <v>3.2E-005</v>
      </c>
      <c r="E42" s="15" t="n">
        <v>1</v>
      </c>
      <c r="F42" s="16"/>
      <c r="G42" s="16"/>
      <c r="H42" s="17" t="n">
        <f aca="false">IFERROR(F42*G42,0)</f>
        <v>0</v>
      </c>
      <c r="I42" s="17" t="n">
        <f aca="false">IFERROR(H42*D42*E42,0)</f>
        <v>0</v>
      </c>
      <c r="J42" s="18" t="s">
        <v>856</v>
      </c>
      <c r="K42" s="18" t="s">
        <v>877</v>
      </c>
    </row>
    <row r="43" customFormat="false" ht="19.5" hidden="false" customHeight="true" outlineLevel="0" collapsed="false">
      <c r="A43" s="20" t="s">
        <v>902</v>
      </c>
      <c r="B43" s="20" t="s">
        <v>906</v>
      </c>
      <c r="C43" s="20" t="s">
        <v>898</v>
      </c>
      <c r="D43" s="20" t="n">
        <v>9.5E-005</v>
      </c>
      <c r="E43" s="20" t="n">
        <v>1</v>
      </c>
      <c r="F43" s="16"/>
      <c r="G43" s="16"/>
      <c r="H43" s="17" t="n">
        <f aca="false">IFERROR(F43*G43,0)</f>
        <v>0</v>
      </c>
      <c r="I43" s="17" t="n">
        <f aca="false">IFERROR(H43*D43*E43,0)</f>
        <v>0</v>
      </c>
      <c r="J43" s="21" t="s">
        <v>856</v>
      </c>
      <c r="K43" s="21" t="s">
        <v>877</v>
      </c>
    </row>
    <row r="44" customFormat="false" ht="18" hidden="false" customHeight="true" outlineLevel="0" collapsed="false">
      <c r="A44" s="14" t="s">
        <v>907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customFormat="false" ht="19.5" hidden="false" customHeight="true" outlineLevel="0" collapsed="false">
      <c r="A45" s="15" t="s">
        <v>908</v>
      </c>
      <c r="B45" s="15" t="s">
        <v>909</v>
      </c>
      <c r="C45" s="15" t="s">
        <v>892</v>
      </c>
      <c r="D45" s="15" t="n">
        <v>0.000113</v>
      </c>
      <c r="E45" s="15" t="n">
        <v>1</v>
      </c>
      <c r="F45" s="16"/>
      <c r="G45" s="16"/>
      <c r="H45" s="17" t="n">
        <f aca="false">IFERROR(F45*G45,0)</f>
        <v>0</v>
      </c>
      <c r="I45" s="17" t="n">
        <f aca="false">IFERROR(H45*D45*E45,0)</f>
        <v>0</v>
      </c>
      <c r="J45" s="18" t="s">
        <v>856</v>
      </c>
      <c r="K45" s="18" t="s">
        <v>877</v>
      </c>
    </row>
    <row r="46" customFormat="false" ht="19.5" hidden="false" customHeight="true" outlineLevel="0" collapsed="false">
      <c r="A46" s="20" t="s">
        <v>908</v>
      </c>
      <c r="B46" s="20" t="s">
        <v>910</v>
      </c>
      <c r="C46" s="20" t="s">
        <v>892</v>
      </c>
      <c r="D46" s="20" t="n">
        <v>0.000135</v>
      </c>
      <c r="E46" s="20" t="n">
        <v>1</v>
      </c>
      <c r="F46" s="16"/>
      <c r="G46" s="16"/>
      <c r="H46" s="17" t="n">
        <f aca="false">IFERROR(F46*G46,0)</f>
        <v>0</v>
      </c>
      <c r="I46" s="17" t="n">
        <f aca="false">IFERROR(H46*D46*E46,0)</f>
        <v>0</v>
      </c>
      <c r="J46" s="21" t="s">
        <v>856</v>
      </c>
      <c r="K46" s="21" t="s">
        <v>877</v>
      </c>
    </row>
    <row r="47" customFormat="false" ht="19.5" hidden="false" customHeight="true" outlineLevel="0" collapsed="false">
      <c r="A47" s="15" t="s">
        <v>908</v>
      </c>
      <c r="B47" s="15" t="s">
        <v>911</v>
      </c>
      <c r="C47" s="15" t="s">
        <v>892</v>
      </c>
      <c r="D47" s="15" t="n">
        <v>2.5E-005</v>
      </c>
      <c r="E47" s="15" t="n">
        <v>1</v>
      </c>
      <c r="F47" s="16"/>
      <c r="G47" s="16"/>
      <c r="H47" s="17" t="n">
        <f aca="false">IFERROR(F47*G47,0)</f>
        <v>0</v>
      </c>
      <c r="I47" s="17" t="n">
        <f aca="false">IFERROR(H47*D47*E47,0)</f>
        <v>0</v>
      </c>
      <c r="J47" s="18" t="s">
        <v>856</v>
      </c>
      <c r="K47" s="18" t="s">
        <v>877</v>
      </c>
    </row>
    <row r="48" customFormat="false" ht="18" hidden="false" customHeight="true" outlineLevel="0" collapsed="false">
      <c r="A48" s="14" t="s">
        <v>912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customFormat="false" ht="19.5" hidden="false" customHeight="true" outlineLevel="0" collapsed="false">
      <c r="A49" s="15" t="s">
        <v>913</v>
      </c>
      <c r="B49" s="15" t="s">
        <v>914</v>
      </c>
      <c r="C49" s="15" t="s">
        <v>898</v>
      </c>
      <c r="D49" s="15" t="n">
        <v>0.000168</v>
      </c>
      <c r="E49" s="15" t="n">
        <v>1</v>
      </c>
      <c r="F49" s="16"/>
      <c r="G49" s="16"/>
      <c r="H49" s="17" t="n">
        <f aca="false">IFERROR(F49*G49,0)</f>
        <v>0</v>
      </c>
      <c r="I49" s="17" t="n">
        <f aca="false">IFERROR(H49*D49*E49,0)</f>
        <v>0</v>
      </c>
      <c r="J49" s="18" t="s">
        <v>856</v>
      </c>
      <c r="K49" s="18" t="s">
        <v>877</v>
      </c>
    </row>
    <row r="50" customFormat="false" ht="19.5" hidden="false" customHeight="true" outlineLevel="0" collapsed="false">
      <c r="A50" s="20" t="s">
        <v>913</v>
      </c>
      <c r="B50" s="20" t="s">
        <v>915</v>
      </c>
      <c r="C50" s="20" t="s">
        <v>898</v>
      </c>
      <c r="D50" s="20" t="n">
        <v>4.1E-005</v>
      </c>
      <c r="E50" s="20" t="n">
        <v>1</v>
      </c>
      <c r="F50" s="16"/>
      <c r="G50" s="16"/>
      <c r="H50" s="17" t="n">
        <f aca="false">IFERROR(F50*G50,0)</f>
        <v>0</v>
      </c>
      <c r="I50" s="17" t="n">
        <f aca="false">IFERROR(H50*D50*E50,0)</f>
        <v>0</v>
      </c>
      <c r="J50" s="21" t="s">
        <v>856</v>
      </c>
      <c r="K50" s="21" t="s">
        <v>877</v>
      </c>
    </row>
    <row r="51" customFormat="false" ht="18" hidden="false" customHeight="true" outlineLevel="0" collapsed="false">
      <c r="A51" s="14" t="s">
        <v>916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customFormat="false" ht="19.5" hidden="false" customHeight="true" outlineLevel="0" collapsed="false">
      <c r="A52" s="15" t="s">
        <v>917</v>
      </c>
      <c r="B52" s="15" t="s">
        <v>918</v>
      </c>
      <c r="C52" s="15" t="s">
        <v>898</v>
      </c>
      <c r="D52" s="15" t="n">
        <v>0.00012</v>
      </c>
      <c r="E52" s="15" t="n">
        <v>1</v>
      </c>
      <c r="F52" s="16"/>
      <c r="G52" s="16"/>
      <c r="H52" s="17" t="n">
        <f aca="false">IFERROR(F52,0)</f>
        <v>0</v>
      </c>
      <c r="I52" s="17" t="n">
        <f aca="false">IFERROR(F52*D52*E52,0)</f>
        <v>0</v>
      </c>
      <c r="J52" s="18" t="s">
        <v>856</v>
      </c>
      <c r="K52" s="18" t="s">
        <v>877</v>
      </c>
    </row>
    <row r="53" customFormat="false" ht="19.5" hidden="false" customHeight="true" outlineLevel="0" collapsed="false">
      <c r="A53" s="20" t="s">
        <v>917</v>
      </c>
      <c r="B53" s="20" t="s">
        <v>919</v>
      </c>
      <c r="C53" s="20" t="s">
        <v>920</v>
      </c>
      <c r="D53" s="20" t="s">
        <v>149</v>
      </c>
      <c r="E53" s="20" t="n">
        <v>1</v>
      </c>
      <c r="F53" s="16"/>
      <c r="G53" s="16"/>
      <c r="H53" s="17" t="n">
        <f aca="false">IFERROR(F53,0)</f>
        <v>0</v>
      </c>
      <c r="I53" s="17" t="n">
        <f aca="false">IFERROR(F53*D53*E53,0)</f>
        <v>0</v>
      </c>
      <c r="J53" s="21" t="s">
        <v>856</v>
      </c>
      <c r="K53" s="21" t="s">
        <v>877</v>
      </c>
    </row>
    <row r="54" customFormat="false" ht="18" hidden="false" customHeight="true" outlineLevel="0" collapsed="false">
      <c r="A54" s="14" t="s">
        <v>921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customFormat="false" ht="19.5" hidden="false" customHeight="true" outlineLevel="0" collapsed="false">
      <c r="A55" s="15" t="s">
        <v>922</v>
      </c>
      <c r="B55" s="15" t="s">
        <v>923</v>
      </c>
      <c r="C55" s="15" t="s">
        <v>924</v>
      </c>
      <c r="D55" s="15" t="n">
        <v>0.018</v>
      </c>
      <c r="E55" s="15" t="n">
        <v>1</v>
      </c>
      <c r="F55" s="16"/>
      <c r="G55" s="16"/>
      <c r="H55" s="17" t="n">
        <f aca="false">IFERROR(F55,0)</f>
        <v>0</v>
      </c>
      <c r="I55" s="17" t="n">
        <f aca="false">IFERROR(F55*D55*E55,0)</f>
        <v>0</v>
      </c>
      <c r="J55" s="18" t="s">
        <v>856</v>
      </c>
      <c r="K55" s="18" t="s">
        <v>877</v>
      </c>
    </row>
    <row r="56" customFormat="false" ht="19.5" hidden="false" customHeight="true" outlineLevel="0" collapsed="false">
      <c r="A56" s="20" t="s">
        <v>922</v>
      </c>
      <c r="B56" s="20" t="s">
        <v>925</v>
      </c>
      <c r="C56" s="20" t="s">
        <v>924</v>
      </c>
      <c r="D56" s="20" t="n">
        <v>0.021</v>
      </c>
      <c r="E56" s="20" t="n">
        <v>1</v>
      </c>
      <c r="F56" s="16"/>
      <c r="G56" s="16"/>
      <c r="H56" s="17" t="n">
        <f aca="false">IFERROR(F56,0)</f>
        <v>0</v>
      </c>
      <c r="I56" s="17" t="n">
        <f aca="false">IFERROR(F56*D56*E56,0)</f>
        <v>0</v>
      </c>
      <c r="J56" s="21" t="s">
        <v>856</v>
      </c>
      <c r="K56" s="21" t="s">
        <v>877</v>
      </c>
    </row>
    <row r="57" customFormat="false" ht="19.5" hidden="false" customHeight="true" outlineLevel="0" collapsed="false">
      <c r="A57" s="15" t="s">
        <v>922</v>
      </c>
      <c r="B57" s="15" t="s">
        <v>926</v>
      </c>
      <c r="C57" s="15" t="s">
        <v>924</v>
      </c>
      <c r="D57" s="15" t="n">
        <v>0.028</v>
      </c>
      <c r="E57" s="15" t="n">
        <v>1</v>
      </c>
      <c r="F57" s="16"/>
      <c r="G57" s="16"/>
      <c r="H57" s="17" t="n">
        <f aca="false">IFERROR(F57,0)</f>
        <v>0</v>
      </c>
      <c r="I57" s="17" t="n">
        <f aca="false">IFERROR(F57*D57*E57,0)</f>
        <v>0</v>
      </c>
      <c r="J57" s="18" t="s">
        <v>856</v>
      </c>
      <c r="K57" s="18" t="s">
        <v>877</v>
      </c>
    </row>
    <row r="58" customFormat="false" ht="19.5" hidden="false" customHeight="true" outlineLevel="0" collapsed="false">
      <c r="A58" s="20" t="s">
        <v>922</v>
      </c>
      <c r="B58" s="20" t="s">
        <v>927</v>
      </c>
      <c r="C58" s="20" t="s">
        <v>924</v>
      </c>
      <c r="D58" s="20" t="n">
        <v>0.021</v>
      </c>
      <c r="E58" s="20" t="n">
        <v>1</v>
      </c>
      <c r="F58" s="16"/>
      <c r="G58" s="16"/>
      <c r="H58" s="17" t="n">
        <f aca="false">IFERROR(F58,0)</f>
        <v>0</v>
      </c>
      <c r="I58" s="17" t="n">
        <f aca="false">IFERROR(F58*D58*E58,0)</f>
        <v>0</v>
      </c>
      <c r="J58" s="21" t="s">
        <v>856</v>
      </c>
      <c r="K58" s="21" t="s">
        <v>877</v>
      </c>
    </row>
    <row r="59" customFormat="false" ht="19.5" hidden="false" customHeight="true" outlineLevel="0" collapsed="false">
      <c r="A59" s="15" t="s">
        <v>922</v>
      </c>
      <c r="B59" s="15" t="s">
        <v>928</v>
      </c>
      <c r="C59" s="15" t="s">
        <v>924</v>
      </c>
      <c r="D59" s="15" t="n">
        <v>0.034</v>
      </c>
      <c r="E59" s="15" t="n">
        <v>1</v>
      </c>
      <c r="F59" s="16"/>
      <c r="G59" s="16"/>
      <c r="H59" s="17" t="n">
        <f aca="false">IFERROR(F59,0)</f>
        <v>0</v>
      </c>
      <c r="I59" s="17" t="n">
        <f aca="false">IFERROR(F59*D59*E59,0)</f>
        <v>0</v>
      </c>
      <c r="J59" s="18" t="s">
        <v>856</v>
      </c>
      <c r="K59" s="18" t="s">
        <v>877</v>
      </c>
    </row>
    <row r="60" customFormat="false" ht="19.5" hidden="false" customHeight="true" outlineLevel="0" collapsed="false">
      <c r="A60" s="20" t="s">
        <v>922</v>
      </c>
      <c r="B60" s="20" t="s">
        <v>929</v>
      </c>
      <c r="C60" s="20" t="s">
        <v>924</v>
      </c>
      <c r="D60" s="20" t="n">
        <v>0.048</v>
      </c>
      <c r="E60" s="20" t="n">
        <v>1</v>
      </c>
      <c r="F60" s="16"/>
      <c r="G60" s="16"/>
      <c r="H60" s="17" t="n">
        <f aca="false">IFERROR(F60,0)</f>
        <v>0</v>
      </c>
      <c r="I60" s="17" t="n">
        <f aca="false">IFERROR(F60*D60*E60,0)</f>
        <v>0</v>
      </c>
      <c r="J60" s="21" t="s">
        <v>856</v>
      </c>
      <c r="K60" s="21" t="s">
        <v>877</v>
      </c>
    </row>
    <row r="61" customFormat="false" ht="19.5" hidden="false" customHeight="true" outlineLevel="0" collapsed="false">
      <c r="A61" s="15" t="s">
        <v>922</v>
      </c>
      <c r="B61" s="15" t="s">
        <v>930</v>
      </c>
      <c r="C61" s="15" t="s">
        <v>924</v>
      </c>
      <c r="D61" s="15" t="n">
        <v>0.015</v>
      </c>
      <c r="E61" s="15" t="n">
        <v>1</v>
      </c>
      <c r="F61" s="16"/>
      <c r="G61" s="16"/>
      <c r="H61" s="17" t="n">
        <f aca="false">IFERROR(F61,0)</f>
        <v>0</v>
      </c>
      <c r="I61" s="17" t="n">
        <f aca="false">IFERROR(F61*D61*E61,0)</f>
        <v>0</v>
      </c>
      <c r="J61" s="18" t="s">
        <v>856</v>
      </c>
      <c r="K61" s="18" t="s">
        <v>877</v>
      </c>
    </row>
    <row r="62" customFormat="false" ht="18" hidden="false" customHeight="true" outlineLevel="0" collapsed="false">
      <c r="A62" s="23" t="s">
        <v>430</v>
      </c>
      <c r="B62" s="23"/>
      <c r="C62" s="23"/>
      <c r="D62" s="23"/>
      <c r="E62" s="23"/>
      <c r="F62" s="23"/>
      <c r="G62" s="23"/>
      <c r="H62" s="23"/>
      <c r="I62" s="24" t="n">
        <f aca="false">SUM(I6:I61)</f>
        <v>0</v>
      </c>
      <c r="J62" s="23"/>
      <c r="K62" s="23"/>
    </row>
    <row r="63" customFormat="false" ht="15.75" hidden="false" customHeight="true" outlineLevel="0" collapsed="false"/>
    <row r="64" customFormat="false" ht="15.75" hidden="false" customHeight="true" outlineLevel="0" collapsed="false">
      <c r="A64" s="25" t="s">
        <v>931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A1:N1"/>
    <mergeCell ref="A2:N2"/>
    <mergeCell ref="A3:N3"/>
    <mergeCell ref="A6:K6"/>
    <mergeCell ref="A11:K11"/>
    <mergeCell ref="A20:K20"/>
    <mergeCell ref="A27:K27"/>
    <mergeCell ref="A30:K30"/>
    <mergeCell ref="A39:K39"/>
    <mergeCell ref="A44:K44"/>
    <mergeCell ref="A48:K48"/>
    <mergeCell ref="A51:K51"/>
    <mergeCell ref="A54:K54"/>
    <mergeCell ref="A64:K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9" min="7" style="1" width="13"/>
    <col collapsed="false" customWidth="true" hidden="false" outlineLevel="0" max="15" min="10" style="1" width="14"/>
    <col collapsed="false" customWidth="true" hidden="false" outlineLevel="0" max="26" min="16" style="1" width="8.71"/>
  </cols>
  <sheetData>
    <row r="1" customFormat="false" ht="27.75" hidden="false" customHeight="true" outlineLevel="0" collapsed="false">
      <c r="A1" s="10" t="s">
        <v>932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30" hidden="false" customHeight="true" outlineLevel="0" collapsed="false">
      <c r="A2" s="11" t="s">
        <v>933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665</v>
      </c>
      <c r="B5" s="13" t="s">
        <v>934</v>
      </c>
      <c r="C5" s="13" t="s">
        <v>935</v>
      </c>
      <c r="D5" s="13" t="s">
        <v>936</v>
      </c>
      <c r="E5" s="13" t="s">
        <v>937</v>
      </c>
      <c r="F5" s="13" t="s">
        <v>938</v>
      </c>
      <c r="G5" s="13" t="s">
        <v>939</v>
      </c>
      <c r="H5" s="13" t="s">
        <v>940</v>
      </c>
      <c r="I5" s="13" t="s">
        <v>941</v>
      </c>
      <c r="J5" s="13" t="s">
        <v>942</v>
      </c>
      <c r="K5" s="13" t="s">
        <v>943</v>
      </c>
      <c r="L5" s="13" t="s">
        <v>944</v>
      </c>
      <c r="M5" s="13" t="s">
        <v>98</v>
      </c>
    </row>
    <row r="6" customFormat="false" ht="18" hidden="false" customHeight="true" outlineLevel="0" collapsed="false">
      <c r="A6" s="14" t="s">
        <v>945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customFormat="false" ht="19.5" hidden="false" customHeight="true" outlineLevel="0" collapsed="false">
      <c r="A7" s="15" t="s">
        <v>890</v>
      </c>
      <c r="B7" s="15" t="s">
        <v>946</v>
      </c>
      <c r="C7" s="15" t="s">
        <v>608</v>
      </c>
      <c r="D7" s="15" t="n">
        <v>0.000192</v>
      </c>
      <c r="E7" s="16"/>
      <c r="F7" s="16"/>
      <c r="G7" s="16"/>
      <c r="H7" s="16"/>
      <c r="I7" s="16"/>
      <c r="J7" s="17" t="n">
        <f aca="false">IFERROR(E7*F7*G7*2*D7,0)</f>
        <v>0</v>
      </c>
      <c r="K7" s="17" t="n">
        <f aca="false">IFERROR(E7*H7*I7*0.000716,0)</f>
        <v>0</v>
      </c>
      <c r="L7" s="17" t="n">
        <f aca="false">J7+K7</f>
        <v>0</v>
      </c>
      <c r="M7" s="18" t="s">
        <v>947</v>
      </c>
    </row>
    <row r="8" customFormat="false" ht="19.5" hidden="false" customHeight="true" outlineLevel="0" collapsed="false">
      <c r="A8" s="20" t="s">
        <v>890</v>
      </c>
      <c r="B8" s="20" t="s">
        <v>948</v>
      </c>
      <c r="C8" s="20" t="s">
        <v>608</v>
      </c>
      <c r="D8" s="20" t="n">
        <v>0.00021</v>
      </c>
      <c r="E8" s="16"/>
      <c r="F8" s="16"/>
      <c r="G8" s="16"/>
      <c r="H8" s="16"/>
      <c r="I8" s="16"/>
      <c r="J8" s="17" t="n">
        <f aca="false">IFERROR(E8*F8*G8*2*D8,0)</f>
        <v>0</v>
      </c>
      <c r="K8" s="17" t="n">
        <f aca="false">IFERROR(E8*H8*I8*0.000716,0)</f>
        <v>0</v>
      </c>
      <c r="L8" s="17" t="n">
        <f aca="false">J8+K8</f>
        <v>0</v>
      </c>
      <c r="M8" s="21" t="s">
        <v>947</v>
      </c>
    </row>
    <row r="9" customFormat="false" ht="19.5" hidden="false" customHeight="true" outlineLevel="0" collapsed="false">
      <c r="A9" s="15" t="s">
        <v>890</v>
      </c>
      <c r="B9" s="15" t="s">
        <v>949</v>
      </c>
      <c r="C9" s="15" t="s">
        <v>605</v>
      </c>
      <c r="D9" s="15" t="n">
        <v>0.000195</v>
      </c>
      <c r="E9" s="16"/>
      <c r="F9" s="16"/>
      <c r="G9" s="16"/>
      <c r="H9" s="16"/>
      <c r="I9" s="16"/>
      <c r="J9" s="17" t="n">
        <f aca="false">IFERROR(E9*F9*G9*2*D9,0)</f>
        <v>0</v>
      </c>
      <c r="K9" s="17" t="n">
        <f aca="false">IFERROR(E9*H9*I9*0.000716,0)</f>
        <v>0</v>
      </c>
      <c r="L9" s="17" t="n">
        <f aca="false">J9+K9</f>
        <v>0</v>
      </c>
      <c r="M9" s="18" t="s">
        <v>947</v>
      </c>
    </row>
    <row r="10" customFormat="false" ht="19.5" hidden="false" customHeight="true" outlineLevel="0" collapsed="false">
      <c r="A10" s="20" t="s">
        <v>890</v>
      </c>
      <c r="B10" s="20" t="s">
        <v>950</v>
      </c>
      <c r="C10" s="20" t="s">
        <v>625</v>
      </c>
      <c r="D10" s="20" t="n">
        <v>0.000108</v>
      </c>
      <c r="E10" s="16"/>
      <c r="F10" s="16"/>
      <c r="G10" s="16"/>
      <c r="H10" s="16"/>
      <c r="I10" s="16"/>
      <c r="J10" s="17" t="n">
        <f aca="false">IFERROR(E10*F10*G10*2*D10,0)</f>
        <v>0</v>
      </c>
      <c r="K10" s="17" t="n">
        <f aca="false">IFERROR(E10*H10*I10*0.000716,0)</f>
        <v>0</v>
      </c>
      <c r="L10" s="17" t="n">
        <f aca="false">J10+K10</f>
        <v>0</v>
      </c>
      <c r="M10" s="21" t="s">
        <v>947</v>
      </c>
    </row>
    <row r="11" customFormat="false" ht="19.5" hidden="false" customHeight="true" outlineLevel="0" collapsed="false">
      <c r="A11" s="15" t="s">
        <v>890</v>
      </c>
      <c r="B11" s="15" t="s">
        <v>951</v>
      </c>
      <c r="C11" s="15" t="s">
        <v>952</v>
      </c>
      <c r="D11" s="15" t="n">
        <v>5.12E-005</v>
      </c>
      <c r="E11" s="16"/>
      <c r="F11" s="16"/>
      <c r="G11" s="16"/>
      <c r="H11" s="16"/>
      <c r="I11" s="16"/>
      <c r="J11" s="17" t="n">
        <f aca="false">IFERROR(E11*F11*G11*2*D11,0)</f>
        <v>0</v>
      </c>
      <c r="K11" s="17" t="n">
        <f aca="false">IFERROR(E11*H11*I11*0.000716,0)</f>
        <v>0</v>
      </c>
      <c r="L11" s="17" t="n">
        <f aca="false">J11+K11</f>
        <v>0</v>
      </c>
      <c r="M11" s="18" t="s">
        <v>947</v>
      </c>
    </row>
    <row r="12" customFormat="false" ht="19.5" hidden="false" customHeight="true" outlineLevel="0" collapsed="false">
      <c r="A12" s="20" t="s">
        <v>890</v>
      </c>
      <c r="B12" s="20" t="s">
        <v>953</v>
      </c>
      <c r="C12" s="20" t="s">
        <v>954</v>
      </c>
      <c r="D12" s="20" t="n">
        <v>0.000105</v>
      </c>
      <c r="E12" s="16"/>
      <c r="F12" s="16"/>
      <c r="G12" s="16"/>
      <c r="H12" s="16"/>
      <c r="I12" s="16"/>
      <c r="J12" s="17" t="n">
        <f aca="false">IFERROR(E12*F12*G12*2*D12,0)</f>
        <v>0</v>
      </c>
      <c r="K12" s="17" t="n">
        <f aca="false">IFERROR(E12*H12*I12*0.000716,0)</f>
        <v>0</v>
      </c>
      <c r="L12" s="17" t="n">
        <f aca="false">J12+K12</f>
        <v>0</v>
      </c>
      <c r="M12" s="21" t="s">
        <v>947</v>
      </c>
    </row>
    <row r="13" customFormat="false" ht="18" hidden="false" customHeight="true" outlineLevel="0" collapsed="false">
      <c r="A13" s="14" t="s">
        <v>955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19.5" hidden="false" customHeight="true" outlineLevel="0" collapsed="false">
      <c r="A14" s="15" t="s">
        <v>956</v>
      </c>
      <c r="B14" s="15" t="s">
        <v>957</v>
      </c>
      <c r="C14" s="15" t="s">
        <v>608</v>
      </c>
      <c r="D14" s="15" t="n">
        <v>9.6E-005</v>
      </c>
      <c r="E14" s="16"/>
      <c r="F14" s="16"/>
      <c r="G14" s="16"/>
      <c r="H14" s="16"/>
      <c r="I14" s="16"/>
      <c r="J14" s="17" t="n">
        <f aca="false">IFERROR(E14*F14*G14*2*D14,0)</f>
        <v>0</v>
      </c>
      <c r="K14" s="17" t="n">
        <f aca="false">IFERROR(E14*H14*I14*0.000716,0)</f>
        <v>0</v>
      </c>
      <c r="L14" s="17" t="n">
        <f aca="false">J14+K14</f>
        <v>0</v>
      </c>
      <c r="M14" s="18" t="s">
        <v>947</v>
      </c>
    </row>
    <row r="15" customFormat="false" ht="19.5" hidden="false" customHeight="true" outlineLevel="0" collapsed="false">
      <c r="A15" s="20" t="s">
        <v>956</v>
      </c>
      <c r="B15" s="20" t="s">
        <v>958</v>
      </c>
      <c r="C15" s="20" t="s">
        <v>608</v>
      </c>
      <c r="D15" s="20" t="n">
        <v>6.4E-005</v>
      </c>
      <c r="E15" s="16"/>
      <c r="F15" s="16"/>
      <c r="G15" s="16"/>
      <c r="H15" s="16"/>
      <c r="I15" s="16"/>
      <c r="J15" s="17" t="n">
        <f aca="false">IFERROR(E15*F15*G15*2*D15,0)</f>
        <v>0</v>
      </c>
      <c r="K15" s="17" t="n">
        <f aca="false">IFERROR(E15*H15*I15*0.000716,0)</f>
        <v>0</v>
      </c>
      <c r="L15" s="17" t="n">
        <f aca="false">J15+K15</f>
        <v>0</v>
      </c>
      <c r="M15" s="21" t="s">
        <v>947</v>
      </c>
    </row>
    <row r="16" customFormat="false" ht="19.5" hidden="false" customHeight="true" outlineLevel="0" collapsed="false">
      <c r="A16" s="15" t="s">
        <v>956</v>
      </c>
      <c r="B16" s="15" t="s">
        <v>959</v>
      </c>
      <c r="C16" s="15" t="s">
        <v>608</v>
      </c>
      <c r="D16" s="15" t="n">
        <v>4.8E-005</v>
      </c>
      <c r="E16" s="16"/>
      <c r="F16" s="16"/>
      <c r="G16" s="16"/>
      <c r="H16" s="16"/>
      <c r="I16" s="16"/>
      <c r="J16" s="17" t="n">
        <f aca="false">IFERROR(E16*F16*G16*2*D16,0)</f>
        <v>0</v>
      </c>
      <c r="K16" s="17" t="n">
        <f aca="false">IFERROR(E16*H16*I16*0.000716,0)</f>
        <v>0</v>
      </c>
      <c r="L16" s="17" t="n">
        <f aca="false">J16+K16</f>
        <v>0</v>
      </c>
      <c r="M16" s="18" t="s">
        <v>947</v>
      </c>
    </row>
    <row r="17" customFormat="false" ht="18" hidden="false" customHeight="true" outlineLevel="0" collapsed="false">
      <c r="A17" s="14" t="s">
        <v>960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customFormat="false" ht="19.5" hidden="false" customHeight="true" outlineLevel="0" collapsed="false">
      <c r="A18" s="15" t="s">
        <v>908</v>
      </c>
      <c r="B18" s="15" t="s">
        <v>961</v>
      </c>
      <c r="C18" s="15" t="s">
        <v>608</v>
      </c>
      <c r="D18" s="15" t="n">
        <v>0.000113</v>
      </c>
      <c r="E18" s="16"/>
      <c r="F18" s="16"/>
      <c r="G18" s="16"/>
      <c r="H18" s="16"/>
      <c r="I18" s="16"/>
      <c r="J18" s="17" t="n">
        <f aca="false">IFERROR(E18*F18*G18*2*D18,0)</f>
        <v>0</v>
      </c>
      <c r="K18" s="17" t="n">
        <f aca="false">IFERROR(E18*H18*I18*0.000716,0)</f>
        <v>0</v>
      </c>
      <c r="L18" s="17" t="n">
        <f aca="false">J18+K18</f>
        <v>0</v>
      </c>
      <c r="M18" s="18" t="s">
        <v>947</v>
      </c>
    </row>
    <row r="19" customFormat="false" ht="19.5" hidden="false" customHeight="true" outlineLevel="0" collapsed="false">
      <c r="A19" s="20" t="s">
        <v>908</v>
      </c>
      <c r="B19" s="20" t="s">
        <v>962</v>
      </c>
      <c r="C19" s="20" t="s">
        <v>608</v>
      </c>
      <c r="D19" s="20" t="n">
        <v>0.000135</v>
      </c>
      <c r="E19" s="16"/>
      <c r="F19" s="16"/>
      <c r="G19" s="16"/>
      <c r="H19" s="16"/>
      <c r="I19" s="16"/>
      <c r="J19" s="17" t="n">
        <f aca="false">IFERROR(E19*F19*G19*2*D19,0)</f>
        <v>0</v>
      </c>
      <c r="K19" s="17" t="n">
        <f aca="false">IFERROR(E19*H19*I19*0.000716,0)</f>
        <v>0</v>
      </c>
      <c r="L19" s="17" t="n">
        <f aca="false">J19+K19</f>
        <v>0</v>
      </c>
      <c r="M19" s="21" t="s">
        <v>947</v>
      </c>
    </row>
    <row r="20" customFormat="false" ht="19.5" hidden="false" customHeight="true" outlineLevel="0" collapsed="false">
      <c r="A20" s="15" t="s">
        <v>908</v>
      </c>
      <c r="B20" s="15" t="s">
        <v>963</v>
      </c>
      <c r="C20" s="15" t="s">
        <v>608</v>
      </c>
      <c r="D20" s="15" t="n">
        <v>0.000118</v>
      </c>
      <c r="E20" s="16"/>
      <c r="F20" s="16"/>
      <c r="G20" s="16"/>
      <c r="H20" s="16"/>
      <c r="I20" s="16"/>
      <c r="J20" s="17" t="n">
        <f aca="false">IFERROR(E20*F20*G20*2*D20,0)</f>
        <v>0</v>
      </c>
      <c r="K20" s="17" t="n">
        <f aca="false">IFERROR(E20*H20*I20*0.000716,0)</f>
        <v>0</v>
      </c>
      <c r="L20" s="17" t="n">
        <f aca="false">J20+K20</f>
        <v>0</v>
      </c>
      <c r="M20" s="18" t="s">
        <v>947</v>
      </c>
    </row>
    <row r="21" customFormat="false" ht="19.5" hidden="false" customHeight="true" outlineLevel="0" collapsed="false">
      <c r="A21" s="20" t="s">
        <v>908</v>
      </c>
      <c r="B21" s="20" t="s">
        <v>964</v>
      </c>
      <c r="C21" s="20" t="s">
        <v>965</v>
      </c>
      <c r="D21" s="20" t="n">
        <v>2.5E-005</v>
      </c>
      <c r="E21" s="16"/>
      <c r="F21" s="16"/>
      <c r="G21" s="16"/>
      <c r="H21" s="16"/>
      <c r="I21" s="16"/>
      <c r="J21" s="17" t="n">
        <f aca="false">IFERROR(E21*F21*G21*2*D21,0)</f>
        <v>0</v>
      </c>
      <c r="K21" s="17" t="n">
        <f aca="false">IFERROR(E21*H21*I21*0.000716,0)</f>
        <v>0</v>
      </c>
      <c r="L21" s="17" t="n">
        <f aca="false">J21+K21</f>
        <v>0</v>
      </c>
      <c r="M21" s="21" t="s">
        <v>947</v>
      </c>
    </row>
    <row r="22" customFormat="false" ht="18" hidden="false" customHeight="true" outlineLevel="0" collapsed="false">
      <c r="A22" s="14" t="s">
        <v>966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customFormat="false" ht="19.5" hidden="false" customHeight="true" outlineLevel="0" collapsed="false">
      <c r="A23" s="15" t="s">
        <v>902</v>
      </c>
      <c r="B23" s="15" t="s">
        <v>967</v>
      </c>
      <c r="C23" s="15" t="s">
        <v>605</v>
      </c>
      <c r="D23" s="15" t="n">
        <v>8.9E-005</v>
      </c>
      <c r="E23" s="16"/>
      <c r="F23" s="16"/>
      <c r="G23" s="16"/>
      <c r="H23" s="16"/>
      <c r="I23" s="16"/>
      <c r="J23" s="17" t="n">
        <f aca="false">IFERROR(E23*F23*G23*2*D23,0)</f>
        <v>0</v>
      </c>
      <c r="K23" s="17" t="n">
        <f aca="false">IFERROR(E23*H23*I23*0.000716,0)</f>
        <v>0</v>
      </c>
      <c r="L23" s="17" t="n">
        <f aca="false">J23+K23</f>
        <v>0</v>
      </c>
      <c r="M23" s="18" t="s">
        <v>947</v>
      </c>
    </row>
    <row r="24" customFormat="false" ht="19.5" hidden="false" customHeight="true" outlineLevel="0" collapsed="false">
      <c r="A24" s="20" t="s">
        <v>902</v>
      </c>
      <c r="B24" s="20" t="s">
        <v>968</v>
      </c>
      <c r="C24" s="20" t="s">
        <v>605</v>
      </c>
      <c r="D24" s="20" t="n">
        <v>9.5E-005</v>
      </c>
      <c r="E24" s="16"/>
      <c r="F24" s="16"/>
      <c r="G24" s="16"/>
      <c r="H24" s="16"/>
      <c r="I24" s="16"/>
      <c r="J24" s="17" t="n">
        <f aca="false">IFERROR(E24*F24*G24*2*D24,0)</f>
        <v>0</v>
      </c>
      <c r="K24" s="17" t="n">
        <f aca="false">IFERROR(E24*H24*I24*0.000716,0)</f>
        <v>0</v>
      </c>
      <c r="L24" s="17" t="n">
        <f aca="false">J24+K24</f>
        <v>0</v>
      </c>
      <c r="M24" s="21" t="s">
        <v>947</v>
      </c>
    </row>
    <row r="25" customFormat="false" ht="19.5" hidden="false" customHeight="true" outlineLevel="0" collapsed="false">
      <c r="A25" s="15" t="s">
        <v>902</v>
      </c>
      <c r="B25" s="15" t="s">
        <v>969</v>
      </c>
      <c r="C25" s="15" t="s">
        <v>625</v>
      </c>
      <c r="D25" s="15" t="n">
        <v>6.2E-005</v>
      </c>
      <c r="E25" s="16"/>
      <c r="F25" s="16"/>
      <c r="G25" s="16"/>
      <c r="H25" s="16"/>
      <c r="I25" s="16"/>
      <c r="J25" s="17" t="n">
        <f aca="false">IFERROR(E25*F25*G25*2*D25,0)</f>
        <v>0</v>
      </c>
      <c r="K25" s="17" t="n">
        <f aca="false">IFERROR(E25*H25*I25*0.000716,0)</f>
        <v>0</v>
      </c>
      <c r="L25" s="17" t="n">
        <f aca="false">J25+K25</f>
        <v>0</v>
      </c>
      <c r="M25" s="18" t="s">
        <v>947</v>
      </c>
    </row>
    <row r="26" customFormat="false" ht="19.5" hidden="false" customHeight="true" outlineLevel="0" collapsed="false">
      <c r="A26" s="20" t="s">
        <v>902</v>
      </c>
      <c r="B26" s="20" t="s">
        <v>970</v>
      </c>
      <c r="C26" s="20" t="s">
        <v>965</v>
      </c>
      <c r="D26" s="20" t="n">
        <v>3.2E-005</v>
      </c>
      <c r="E26" s="16"/>
      <c r="F26" s="16"/>
      <c r="G26" s="16"/>
      <c r="H26" s="16"/>
      <c r="I26" s="16"/>
      <c r="J26" s="17" t="n">
        <f aca="false">IFERROR(E26*F26*G26*2*D26,0)</f>
        <v>0</v>
      </c>
      <c r="K26" s="17" t="n">
        <f aca="false">IFERROR(E26*H26*I26*0.000716,0)</f>
        <v>0</v>
      </c>
      <c r="L26" s="17" t="n">
        <f aca="false">J26+K26</f>
        <v>0</v>
      </c>
      <c r="M26" s="21" t="s">
        <v>947</v>
      </c>
    </row>
    <row r="27" customFormat="false" ht="19.5" hidden="false" customHeight="true" outlineLevel="0" collapsed="false">
      <c r="A27" s="15" t="s">
        <v>902</v>
      </c>
      <c r="B27" s="15" t="s">
        <v>971</v>
      </c>
      <c r="C27" s="15" t="s">
        <v>605</v>
      </c>
      <c r="D27" s="15" t="n">
        <v>8.9E-005</v>
      </c>
      <c r="E27" s="16"/>
      <c r="F27" s="16"/>
      <c r="G27" s="16"/>
      <c r="H27" s="16"/>
      <c r="I27" s="16"/>
      <c r="J27" s="17" t="n">
        <f aca="false">IFERROR(E27*F27*G27*2*D27,0)</f>
        <v>0</v>
      </c>
      <c r="K27" s="17" t="n">
        <f aca="false">IFERROR(E27*H27*I27*0.000716,0)</f>
        <v>0</v>
      </c>
      <c r="L27" s="17" t="n">
        <f aca="false">J27+K27</f>
        <v>0</v>
      </c>
      <c r="M27" s="18" t="s">
        <v>947</v>
      </c>
    </row>
    <row r="28" customFormat="false" ht="18" hidden="false" customHeight="true" outlineLevel="0" collapsed="false">
      <c r="A28" s="14" t="s">
        <v>972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customFormat="false" ht="19.5" hidden="false" customHeight="true" outlineLevel="0" collapsed="false">
      <c r="A29" s="15" t="s">
        <v>973</v>
      </c>
      <c r="B29" s="15" t="s">
        <v>974</v>
      </c>
      <c r="C29" s="15" t="s">
        <v>965</v>
      </c>
      <c r="D29" s="15" t="n">
        <v>4.1E-006</v>
      </c>
      <c r="E29" s="16"/>
      <c r="F29" s="16"/>
      <c r="G29" s="16"/>
      <c r="H29" s="16"/>
      <c r="I29" s="16"/>
      <c r="J29" s="17" t="n">
        <f aca="false">IFERROR(E29*F29*G29*2*D29,0)</f>
        <v>0</v>
      </c>
      <c r="K29" s="17" t="n">
        <f aca="false">IFERROR(E29*H29*I29*0.000716,0)</f>
        <v>0</v>
      </c>
      <c r="L29" s="17" t="n">
        <f aca="false">J29+K29</f>
        <v>0</v>
      </c>
      <c r="M29" s="18" t="s">
        <v>947</v>
      </c>
    </row>
    <row r="30" customFormat="false" ht="19.5" hidden="false" customHeight="true" outlineLevel="0" collapsed="false">
      <c r="A30" s="20" t="s">
        <v>973</v>
      </c>
      <c r="B30" s="20" t="s">
        <v>975</v>
      </c>
      <c r="C30" s="20" t="s">
        <v>965</v>
      </c>
      <c r="D30" s="20" t="n">
        <v>4.1E-006</v>
      </c>
      <c r="E30" s="16"/>
      <c r="F30" s="16"/>
      <c r="G30" s="16"/>
      <c r="H30" s="16"/>
      <c r="I30" s="16"/>
      <c r="J30" s="17" t="n">
        <f aca="false">IFERROR(E30*F30*G30*2*D30,0)</f>
        <v>0</v>
      </c>
      <c r="K30" s="17" t="n">
        <f aca="false">IFERROR(E30*H30*I30*0.000716,0)</f>
        <v>0</v>
      </c>
      <c r="L30" s="17" t="n">
        <f aca="false">J30+K30</f>
        <v>0</v>
      </c>
      <c r="M30" s="21" t="s">
        <v>947</v>
      </c>
    </row>
    <row r="31" customFormat="false" ht="19.5" hidden="false" customHeight="true" outlineLevel="0" collapsed="false">
      <c r="A31" s="15" t="s">
        <v>973</v>
      </c>
      <c r="B31" s="15" t="s">
        <v>976</v>
      </c>
      <c r="C31" s="15" t="s">
        <v>605</v>
      </c>
      <c r="D31" s="15" t="n">
        <v>3.54E-005</v>
      </c>
      <c r="E31" s="16"/>
      <c r="F31" s="16"/>
      <c r="G31" s="16"/>
      <c r="H31" s="16"/>
      <c r="I31" s="16"/>
      <c r="J31" s="17" t="n">
        <f aca="false">IFERROR(E31*F31*G31*2*D31,0)</f>
        <v>0</v>
      </c>
      <c r="K31" s="17" t="n">
        <f aca="false">IFERROR(E31*H31*I31*0.000716,0)</f>
        <v>0</v>
      </c>
      <c r="L31" s="17" t="n">
        <f aca="false">J31+K31</f>
        <v>0</v>
      </c>
      <c r="M31" s="18" t="s">
        <v>947</v>
      </c>
    </row>
    <row r="32" customFormat="false" ht="19.5" hidden="false" customHeight="true" outlineLevel="0" collapsed="false">
      <c r="A32" s="20" t="s">
        <v>973</v>
      </c>
      <c r="B32" s="20" t="s">
        <v>977</v>
      </c>
      <c r="C32" s="20" t="s">
        <v>965</v>
      </c>
      <c r="D32" s="20" t="n">
        <v>4.8E-006</v>
      </c>
      <c r="E32" s="16"/>
      <c r="F32" s="16"/>
      <c r="G32" s="16"/>
      <c r="H32" s="16"/>
      <c r="I32" s="16"/>
      <c r="J32" s="17" t="n">
        <f aca="false">IFERROR(E32*F32*G32*2*D32,0)</f>
        <v>0</v>
      </c>
      <c r="K32" s="17" t="n">
        <f aca="false">IFERROR(E32*H32*I32*0.000716,0)</f>
        <v>0</v>
      </c>
      <c r="L32" s="17" t="n">
        <f aca="false">J32+K32</f>
        <v>0</v>
      </c>
      <c r="M32" s="21" t="s">
        <v>947</v>
      </c>
    </row>
    <row r="33" customFormat="false" ht="18" hidden="false" customHeight="true" outlineLevel="0" collapsed="false">
      <c r="A33" s="14" t="s">
        <v>978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customFormat="false" ht="19.5" hidden="false" customHeight="true" outlineLevel="0" collapsed="false">
      <c r="A34" s="15" t="s">
        <v>979</v>
      </c>
      <c r="B34" s="15" t="s">
        <v>980</v>
      </c>
      <c r="C34" s="15" t="s">
        <v>625</v>
      </c>
      <c r="D34" s="15" t="n">
        <v>0.000168</v>
      </c>
      <c r="E34" s="16"/>
      <c r="F34" s="16"/>
      <c r="G34" s="16"/>
      <c r="H34" s="16"/>
      <c r="I34" s="16"/>
      <c r="J34" s="17" t="n">
        <f aca="false">IFERROR(E34*F34*G34*2*D34,0)</f>
        <v>0</v>
      </c>
      <c r="K34" s="17" t="n">
        <f aca="false">IFERROR(E34*H34*I34*0.000716,0)</f>
        <v>0</v>
      </c>
      <c r="L34" s="17" t="n">
        <f aca="false">J34+K34</f>
        <v>0</v>
      </c>
      <c r="M34" s="18" t="s">
        <v>947</v>
      </c>
    </row>
    <row r="35" customFormat="false" ht="19.5" hidden="false" customHeight="true" outlineLevel="0" collapsed="false">
      <c r="A35" s="20" t="s">
        <v>979</v>
      </c>
      <c r="B35" s="20" t="s">
        <v>915</v>
      </c>
      <c r="C35" s="20" t="s">
        <v>965</v>
      </c>
      <c r="D35" s="20" t="n">
        <v>4.1E-005</v>
      </c>
      <c r="E35" s="16"/>
      <c r="F35" s="16"/>
      <c r="G35" s="16"/>
      <c r="H35" s="16"/>
      <c r="I35" s="16"/>
      <c r="J35" s="17" t="n">
        <f aca="false">IFERROR(E35*F35*G35*2*D35,0)</f>
        <v>0</v>
      </c>
      <c r="K35" s="17" t="n">
        <f aca="false">IFERROR(E35*H35*I35*0.000716,0)</f>
        <v>0</v>
      </c>
      <c r="L35" s="17" t="n">
        <f aca="false">J35+K35</f>
        <v>0</v>
      </c>
      <c r="M35" s="21" t="s">
        <v>947</v>
      </c>
    </row>
    <row r="36" customFormat="false" ht="19.5" hidden="false" customHeight="true" outlineLevel="0" collapsed="false">
      <c r="A36" s="15" t="s">
        <v>979</v>
      </c>
      <c r="B36" s="15" t="s">
        <v>981</v>
      </c>
      <c r="C36" s="15" t="s">
        <v>608</v>
      </c>
      <c r="D36" s="15" t="n">
        <v>0.00021</v>
      </c>
      <c r="E36" s="16"/>
      <c r="F36" s="16"/>
      <c r="G36" s="16"/>
      <c r="H36" s="16"/>
      <c r="I36" s="16"/>
      <c r="J36" s="17" t="n">
        <f aca="false">IFERROR(E36*F36*G36*2*D36,0)</f>
        <v>0</v>
      </c>
      <c r="K36" s="17" t="n">
        <f aca="false">IFERROR(E36*H36*I36*0.000716,0)</f>
        <v>0</v>
      </c>
      <c r="L36" s="17" t="n">
        <f aca="false">J36+K36</f>
        <v>0</v>
      </c>
      <c r="M36" s="18" t="s">
        <v>947</v>
      </c>
    </row>
    <row r="37" customFormat="false" ht="18" hidden="false" customHeight="true" outlineLevel="0" collapsed="false">
      <c r="A37" s="14" t="s">
        <v>982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customFormat="false" ht="19.5" hidden="false" customHeight="true" outlineLevel="0" collapsed="false">
      <c r="A38" s="15" t="s">
        <v>983</v>
      </c>
      <c r="B38" s="15" t="s">
        <v>984</v>
      </c>
      <c r="C38" s="15" t="s">
        <v>605</v>
      </c>
      <c r="D38" s="15" t="n">
        <v>8.9E-005</v>
      </c>
      <c r="E38" s="16"/>
      <c r="F38" s="16"/>
      <c r="G38" s="16"/>
      <c r="H38" s="16"/>
      <c r="I38" s="16"/>
      <c r="J38" s="17" t="n">
        <f aca="false">IFERROR(E38*F38*G38*2*D38,0)</f>
        <v>0</v>
      </c>
      <c r="K38" s="17" t="n">
        <f aca="false">IFERROR(E38*H38*I38*0.000716,0)</f>
        <v>0</v>
      </c>
      <c r="L38" s="17" t="n">
        <f aca="false">J38+K38</f>
        <v>0</v>
      </c>
      <c r="M38" s="18" t="s">
        <v>947</v>
      </c>
    </row>
    <row r="39" customFormat="false" ht="19.5" hidden="false" customHeight="true" outlineLevel="0" collapsed="false">
      <c r="A39" s="20" t="s">
        <v>983</v>
      </c>
      <c r="B39" s="20" t="s">
        <v>985</v>
      </c>
      <c r="C39" s="20" t="s">
        <v>605</v>
      </c>
      <c r="D39" s="20" t="n">
        <v>0.00012</v>
      </c>
      <c r="E39" s="16"/>
      <c r="F39" s="16"/>
      <c r="G39" s="16"/>
      <c r="H39" s="16"/>
      <c r="I39" s="16"/>
      <c r="J39" s="17" t="n">
        <f aca="false">IFERROR(E39*F39*G39*2*D39,0)</f>
        <v>0</v>
      </c>
      <c r="K39" s="17" t="n">
        <f aca="false">IFERROR(E39*H39*I39*0.000716,0)</f>
        <v>0</v>
      </c>
      <c r="L39" s="17" t="n">
        <f aca="false">J39+K39</f>
        <v>0</v>
      </c>
      <c r="M39" s="21" t="s">
        <v>947</v>
      </c>
    </row>
    <row r="40" customFormat="false" ht="19.5" hidden="false" customHeight="true" outlineLevel="0" collapsed="false">
      <c r="A40" s="15" t="s">
        <v>983</v>
      </c>
      <c r="B40" s="15" t="s">
        <v>986</v>
      </c>
      <c r="C40" s="15" t="s">
        <v>625</v>
      </c>
      <c r="D40" s="15" t="n">
        <v>5.4E-005</v>
      </c>
      <c r="E40" s="16"/>
      <c r="F40" s="16"/>
      <c r="G40" s="16"/>
      <c r="H40" s="16"/>
      <c r="I40" s="16"/>
      <c r="J40" s="17" t="n">
        <f aca="false">IFERROR(E40*F40*G40*2*D40,0)</f>
        <v>0</v>
      </c>
      <c r="K40" s="17" t="n">
        <f aca="false">IFERROR(E40*H40*I40*0.000716,0)</f>
        <v>0</v>
      </c>
      <c r="L40" s="17" t="n">
        <f aca="false">J40+K40</f>
        <v>0</v>
      </c>
      <c r="M40" s="18" t="s">
        <v>947</v>
      </c>
    </row>
    <row r="41" customFormat="false" ht="18" hidden="false" customHeight="true" outlineLevel="0" collapsed="false">
      <c r="A41" s="14" t="s">
        <v>987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customFormat="false" ht="19.5" hidden="false" customHeight="true" outlineLevel="0" collapsed="false">
      <c r="A42" s="15" t="s">
        <v>988</v>
      </c>
      <c r="B42" s="15" t="s">
        <v>989</v>
      </c>
      <c r="C42" s="15" t="s">
        <v>990</v>
      </c>
      <c r="D42" s="15" t="n">
        <v>0</v>
      </c>
      <c r="E42" s="16"/>
      <c r="F42" s="16"/>
      <c r="G42" s="16"/>
      <c r="H42" s="16"/>
      <c r="I42" s="16"/>
      <c r="J42" s="17" t="n">
        <f aca="false">IFERROR(E42*F42*G42*2*D42,0)</f>
        <v>0</v>
      </c>
      <c r="K42" s="17" t="n">
        <f aca="false">IFERROR(E42*H42*I42*0.000716,0)</f>
        <v>0</v>
      </c>
      <c r="L42" s="17" t="n">
        <f aca="false">J42+K42</f>
        <v>0</v>
      </c>
      <c r="M42" s="18" t="s">
        <v>947</v>
      </c>
    </row>
    <row r="43" customFormat="false" ht="19.5" hidden="false" customHeight="true" outlineLevel="0" collapsed="false">
      <c r="A43" s="20" t="s">
        <v>988</v>
      </c>
      <c r="B43" s="20" t="s">
        <v>991</v>
      </c>
      <c r="C43" s="20" t="s">
        <v>965</v>
      </c>
      <c r="D43" s="20" t="n">
        <v>5E-006</v>
      </c>
      <c r="E43" s="16"/>
      <c r="F43" s="16"/>
      <c r="G43" s="16"/>
      <c r="H43" s="16"/>
      <c r="I43" s="16"/>
      <c r="J43" s="17" t="n">
        <f aca="false">IFERROR(E43*F43*G43*2*D43,0)</f>
        <v>0</v>
      </c>
      <c r="K43" s="17" t="n">
        <f aca="false">IFERROR(E43*H43*I43*0.000716,0)</f>
        <v>0</v>
      </c>
      <c r="L43" s="17" t="n">
        <f aca="false">J43+K43</f>
        <v>0</v>
      </c>
      <c r="M43" s="21" t="s">
        <v>947</v>
      </c>
    </row>
    <row r="44" customFormat="false" ht="19.5" hidden="false" customHeight="true" outlineLevel="0" collapsed="false">
      <c r="A44" s="15" t="s">
        <v>988</v>
      </c>
      <c r="B44" s="15" t="s">
        <v>992</v>
      </c>
      <c r="C44" s="15" t="s">
        <v>990</v>
      </c>
      <c r="D44" s="15" t="n">
        <v>0</v>
      </c>
      <c r="E44" s="16"/>
      <c r="F44" s="16"/>
      <c r="G44" s="16"/>
      <c r="H44" s="16"/>
      <c r="I44" s="16"/>
      <c r="J44" s="17" t="n">
        <f aca="false">IFERROR(E44*F44*G44*2*D44,0)</f>
        <v>0</v>
      </c>
      <c r="K44" s="17" t="n">
        <f aca="false">IFERROR(E44*H44*I44*0.000716,0)</f>
        <v>0</v>
      </c>
      <c r="L44" s="17" t="n">
        <f aca="false">J44+K44</f>
        <v>0</v>
      </c>
      <c r="M44" s="18" t="s">
        <v>947</v>
      </c>
    </row>
    <row r="45" customFormat="false" ht="18" hidden="false" customHeight="true" outlineLevel="0" collapsed="false">
      <c r="A45" s="14" t="s">
        <v>993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customFormat="false" ht="19.5" hidden="false" customHeight="true" outlineLevel="0" collapsed="false">
      <c r="A46" s="15" t="s">
        <v>994</v>
      </c>
      <c r="B46" s="15" t="s">
        <v>995</v>
      </c>
      <c r="C46" s="15" t="s">
        <v>996</v>
      </c>
      <c r="D46" s="15" t="s">
        <v>149</v>
      </c>
      <c r="E46" s="16"/>
      <c r="F46" s="15" t="s">
        <v>149</v>
      </c>
      <c r="G46" s="15" t="s">
        <v>149</v>
      </c>
      <c r="H46" s="16"/>
      <c r="I46" s="15" t="n">
        <v>0.716</v>
      </c>
      <c r="J46" s="17" t="s">
        <v>997</v>
      </c>
      <c r="K46" s="17" t="n">
        <f aca="false">IFERROR(E46*H46*I46*D46,0)</f>
        <v>0</v>
      </c>
      <c r="L46" s="17" t="n">
        <f aca="false">J46+K46</f>
        <v>0</v>
      </c>
      <c r="M46" s="18" t="s">
        <v>947</v>
      </c>
    </row>
    <row r="47" customFormat="false" ht="19.5" hidden="false" customHeight="true" outlineLevel="0" collapsed="false">
      <c r="A47" s="20" t="s">
        <v>994</v>
      </c>
      <c r="B47" s="20" t="s">
        <v>998</v>
      </c>
      <c r="C47" s="20" t="s">
        <v>999</v>
      </c>
      <c r="D47" s="20" t="s">
        <v>149</v>
      </c>
      <c r="E47" s="16"/>
      <c r="F47" s="20" t="s">
        <v>149</v>
      </c>
      <c r="G47" s="20" t="s">
        <v>149</v>
      </c>
      <c r="H47" s="16"/>
      <c r="I47" s="20" t="n">
        <v>0.2</v>
      </c>
      <c r="J47" s="17" t="s">
        <v>997</v>
      </c>
      <c r="K47" s="17" t="n">
        <f aca="false">IFERROR(E47*H47*I47*D47,0)</f>
        <v>0</v>
      </c>
      <c r="L47" s="17" t="n">
        <f aca="false">J47+K47</f>
        <v>0</v>
      </c>
      <c r="M47" s="21" t="s">
        <v>947</v>
      </c>
    </row>
    <row r="48" customFormat="false" ht="19.5" hidden="false" customHeight="true" outlineLevel="0" collapsed="false">
      <c r="A48" s="15" t="s">
        <v>994</v>
      </c>
      <c r="B48" s="15" t="s">
        <v>1000</v>
      </c>
      <c r="C48" s="15" t="s">
        <v>996</v>
      </c>
      <c r="D48" s="15" t="s">
        <v>149</v>
      </c>
      <c r="E48" s="16"/>
      <c r="F48" s="15" t="s">
        <v>149</v>
      </c>
      <c r="G48" s="15" t="s">
        <v>149</v>
      </c>
      <c r="H48" s="16"/>
      <c r="I48" s="15" t="n">
        <v>0.85</v>
      </c>
      <c r="J48" s="17" t="s">
        <v>997</v>
      </c>
      <c r="K48" s="17" t="n">
        <f aca="false">IFERROR(E48*H48*I48*D48,0)</f>
        <v>0</v>
      </c>
      <c r="L48" s="17" t="n">
        <f aca="false">J48+K48</f>
        <v>0</v>
      </c>
      <c r="M48" s="18" t="s">
        <v>947</v>
      </c>
    </row>
    <row r="49" customFormat="false" ht="19.5" hidden="false" customHeight="true" outlineLevel="0" collapsed="false">
      <c r="A49" s="20" t="s">
        <v>994</v>
      </c>
      <c r="B49" s="20" t="s">
        <v>1001</v>
      </c>
      <c r="C49" s="20" t="s">
        <v>996</v>
      </c>
      <c r="D49" s="20" t="s">
        <v>149</v>
      </c>
      <c r="E49" s="16"/>
      <c r="F49" s="20" t="s">
        <v>149</v>
      </c>
      <c r="G49" s="20" t="s">
        <v>149</v>
      </c>
      <c r="H49" s="16"/>
      <c r="I49" s="20" t="n">
        <v>0.42</v>
      </c>
      <c r="J49" s="17" t="s">
        <v>997</v>
      </c>
      <c r="K49" s="17" t="n">
        <f aca="false">IFERROR(E49*H49*I49*D49,0)</f>
        <v>0</v>
      </c>
      <c r="L49" s="17" t="n">
        <f aca="false">J49+K49</f>
        <v>0</v>
      </c>
      <c r="M49" s="21" t="s">
        <v>947</v>
      </c>
    </row>
    <row r="50" customFormat="false" ht="18" hidden="false" customHeight="true" outlineLevel="0" collapsed="false">
      <c r="A50" s="23" t="s">
        <v>430</v>
      </c>
      <c r="B50" s="23"/>
      <c r="C50" s="23"/>
      <c r="D50" s="23"/>
      <c r="E50" s="23"/>
      <c r="F50" s="23"/>
      <c r="G50" s="23"/>
      <c r="H50" s="23"/>
      <c r="I50" s="23"/>
      <c r="J50" s="24" t="n">
        <f aca="false">SUM(J6:J49)</f>
        <v>0</v>
      </c>
      <c r="K50" s="24" t="n">
        <f aca="false">SUM(K6:K49)</f>
        <v>0</v>
      </c>
      <c r="L50" s="24" t="n">
        <f aca="false">SUM(L6:L49)</f>
        <v>0</v>
      </c>
      <c r="M50" s="23"/>
    </row>
    <row r="51" customFormat="false" ht="15.75" hidden="false" customHeight="true" outlineLevel="0" collapsed="false"/>
    <row r="52" customFormat="false" ht="15.75" hidden="false" customHeight="true" outlineLevel="0" collapsed="false">
      <c r="A52" s="25" t="s">
        <v>1002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O1"/>
    <mergeCell ref="A2:O2"/>
    <mergeCell ref="A3:O3"/>
    <mergeCell ref="A6:M6"/>
    <mergeCell ref="A13:M13"/>
    <mergeCell ref="A17:M17"/>
    <mergeCell ref="A22:M22"/>
    <mergeCell ref="A28:M28"/>
    <mergeCell ref="A33:M33"/>
    <mergeCell ref="A37:M37"/>
    <mergeCell ref="A41:M41"/>
    <mergeCell ref="A45:M45"/>
    <mergeCell ref="A52:M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4" min="3" style="1" width="28"/>
    <col collapsed="false" customWidth="true" hidden="false" outlineLevel="0" max="5" min="5" style="1" width="18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12" min="9" style="1" width="28"/>
    <col collapsed="false" customWidth="true" hidden="false" outlineLevel="0" max="26" min="13" style="1" width="8.71"/>
  </cols>
  <sheetData>
    <row r="1" customFormat="false" ht="27.75" hidden="false" customHeight="true" outlineLevel="0" collapsed="false">
      <c r="A1" s="10" t="s">
        <v>1003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0" hidden="false" customHeight="true" outlineLevel="0" collapsed="false">
      <c r="A2" s="11" t="s">
        <v>1004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1005</v>
      </c>
      <c r="B5" s="13" t="s">
        <v>434</v>
      </c>
      <c r="C5" s="13" t="s">
        <v>1006</v>
      </c>
      <c r="D5" s="13" t="s">
        <v>1007</v>
      </c>
      <c r="E5" s="13" t="s">
        <v>1008</v>
      </c>
      <c r="F5" s="13" t="s">
        <v>1009</v>
      </c>
      <c r="G5" s="13" t="s">
        <v>1010</v>
      </c>
      <c r="H5" s="13" t="s">
        <v>440</v>
      </c>
      <c r="I5" s="13" t="s">
        <v>1011</v>
      </c>
      <c r="J5" s="13" t="s">
        <v>97</v>
      </c>
      <c r="K5" s="13" t="s">
        <v>98</v>
      </c>
    </row>
    <row r="6" customFormat="false" ht="18" hidden="false" customHeight="true" outlineLevel="0" collapsed="false">
      <c r="A6" s="14" t="s">
        <v>1012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customFormat="false" ht="19.5" hidden="false" customHeight="true" outlineLevel="0" collapsed="false">
      <c r="A7" s="15" t="s">
        <v>1013</v>
      </c>
      <c r="B7" s="15" t="s">
        <v>1014</v>
      </c>
      <c r="C7" s="15" t="s">
        <v>1015</v>
      </c>
      <c r="D7" s="15" t="n">
        <v>0.000716</v>
      </c>
      <c r="E7" s="15" t="n">
        <v>0</v>
      </c>
      <c r="F7" s="16"/>
      <c r="G7" s="16"/>
      <c r="H7" s="17" t="n">
        <f aca="false">IFERROR(F7*D7+G7*E7,0)</f>
        <v>0</v>
      </c>
      <c r="I7" s="18" t="s">
        <v>1016</v>
      </c>
      <c r="J7" s="18" t="s">
        <v>1017</v>
      </c>
      <c r="K7" s="18" t="s">
        <v>1018</v>
      </c>
    </row>
    <row r="8" customFormat="false" ht="19.5" hidden="false" customHeight="true" outlineLevel="0" collapsed="false">
      <c r="A8" s="20" t="s">
        <v>1013</v>
      </c>
      <c r="B8" s="20" t="s">
        <v>1019</v>
      </c>
      <c r="C8" s="20" t="s">
        <v>1015</v>
      </c>
      <c r="D8" s="20" t="n">
        <v>0.000716</v>
      </c>
      <c r="E8" s="20" t="n">
        <v>0</v>
      </c>
      <c r="F8" s="16"/>
      <c r="G8" s="16"/>
      <c r="H8" s="17" t="n">
        <f aca="false">IFERROR(F8*D8+G8*E8,0)</f>
        <v>0</v>
      </c>
      <c r="I8" s="21" t="s">
        <v>1016</v>
      </c>
      <c r="J8" s="21" t="s">
        <v>1017</v>
      </c>
      <c r="K8" s="21" t="s">
        <v>1018</v>
      </c>
    </row>
    <row r="9" customFormat="false" ht="19.5" hidden="false" customHeight="true" outlineLevel="0" collapsed="false">
      <c r="A9" s="15" t="s">
        <v>1013</v>
      </c>
      <c r="B9" s="15" t="s">
        <v>1020</v>
      </c>
      <c r="C9" s="15" t="s">
        <v>1015</v>
      </c>
      <c r="D9" s="15" t="n">
        <v>0.000716</v>
      </c>
      <c r="E9" s="15" t="n">
        <v>0</v>
      </c>
      <c r="F9" s="16"/>
      <c r="G9" s="16"/>
      <c r="H9" s="17" t="n">
        <f aca="false">IFERROR(F9*D9+G9*E9,0)</f>
        <v>0</v>
      </c>
      <c r="I9" s="18" t="s">
        <v>1016</v>
      </c>
      <c r="J9" s="18" t="s">
        <v>1017</v>
      </c>
      <c r="K9" s="18" t="s">
        <v>1018</v>
      </c>
    </row>
    <row r="10" customFormat="false" ht="19.5" hidden="false" customHeight="true" outlineLevel="0" collapsed="false">
      <c r="A10" s="20" t="s">
        <v>1013</v>
      </c>
      <c r="B10" s="20" t="s">
        <v>1021</v>
      </c>
      <c r="C10" s="20" t="s">
        <v>1015</v>
      </c>
      <c r="D10" s="20" t="n">
        <v>0.000716</v>
      </c>
      <c r="E10" s="20" t="n">
        <v>0</v>
      </c>
      <c r="F10" s="16"/>
      <c r="G10" s="16"/>
      <c r="H10" s="17" t="n">
        <f aca="false">IFERROR(F10*D10+G10*E10,0)</f>
        <v>0</v>
      </c>
      <c r="I10" s="21" t="s">
        <v>1016</v>
      </c>
      <c r="J10" s="21" t="s">
        <v>1017</v>
      </c>
      <c r="K10" s="21" t="s">
        <v>1018</v>
      </c>
    </row>
    <row r="11" customFormat="false" ht="19.5" hidden="false" customHeight="true" outlineLevel="0" collapsed="false">
      <c r="A11" s="15" t="s">
        <v>1013</v>
      </c>
      <c r="B11" s="15" t="s">
        <v>1022</v>
      </c>
      <c r="C11" s="15" t="s">
        <v>1015</v>
      </c>
      <c r="D11" s="15" t="n">
        <v>0.000716</v>
      </c>
      <c r="E11" s="15" t="n">
        <v>0</v>
      </c>
      <c r="F11" s="16"/>
      <c r="G11" s="16"/>
      <c r="H11" s="17" t="n">
        <f aca="false">IFERROR(F11*D11+G11*E11,0)</f>
        <v>0</v>
      </c>
      <c r="I11" s="18" t="s">
        <v>1016</v>
      </c>
      <c r="J11" s="18" t="s">
        <v>1017</v>
      </c>
      <c r="K11" s="18" t="s">
        <v>1018</v>
      </c>
    </row>
    <row r="12" customFormat="false" ht="18" hidden="false" customHeight="true" outlineLevel="0" collapsed="false">
      <c r="A12" s="14" t="s">
        <v>1023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19.5" hidden="false" customHeight="true" outlineLevel="0" collapsed="false">
      <c r="A13" s="15" t="s">
        <v>506</v>
      </c>
      <c r="B13" s="15" t="s">
        <v>1024</v>
      </c>
      <c r="C13" s="15" t="s">
        <v>589</v>
      </c>
      <c r="D13" s="15" t="n">
        <v>0.000716</v>
      </c>
      <c r="E13" s="15" t="n">
        <v>0</v>
      </c>
      <c r="F13" s="16"/>
      <c r="G13" s="16"/>
      <c r="H13" s="17" t="n">
        <f aca="false">IFERROR(F13*D13+G13*E13,0)</f>
        <v>0</v>
      </c>
      <c r="I13" s="18" t="s">
        <v>1016</v>
      </c>
      <c r="J13" s="18" t="s">
        <v>1017</v>
      </c>
      <c r="K13" s="18" t="s">
        <v>1018</v>
      </c>
    </row>
    <row r="14" customFormat="false" ht="19.5" hidden="false" customHeight="true" outlineLevel="0" collapsed="false">
      <c r="A14" s="20" t="s">
        <v>506</v>
      </c>
      <c r="B14" s="20" t="s">
        <v>1025</v>
      </c>
      <c r="C14" s="20" t="s">
        <v>589</v>
      </c>
      <c r="D14" s="20" t="n">
        <v>0.000716</v>
      </c>
      <c r="E14" s="20" t="n">
        <v>0</v>
      </c>
      <c r="F14" s="16"/>
      <c r="G14" s="16"/>
      <c r="H14" s="17" t="n">
        <f aca="false">IFERROR(F14*D14+G14*E14,0)</f>
        <v>0</v>
      </c>
      <c r="I14" s="21" t="s">
        <v>1016</v>
      </c>
      <c r="J14" s="21" t="s">
        <v>1017</v>
      </c>
      <c r="K14" s="21" t="s">
        <v>1018</v>
      </c>
    </row>
    <row r="15" customFormat="false" ht="19.5" hidden="false" customHeight="true" outlineLevel="0" collapsed="false">
      <c r="A15" s="15" t="s">
        <v>506</v>
      </c>
      <c r="B15" s="15" t="s">
        <v>1026</v>
      </c>
      <c r="C15" s="15" t="s">
        <v>589</v>
      </c>
      <c r="D15" s="15" t="n">
        <v>0.000716</v>
      </c>
      <c r="E15" s="15" t="n">
        <v>0</v>
      </c>
      <c r="F15" s="16"/>
      <c r="G15" s="16"/>
      <c r="H15" s="17" t="n">
        <f aca="false">IFERROR(F15*D15+G15*E15,0)</f>
        <v>0</v>
      </c>
      <c r="I15" s="18" t="s">
        <v>1016</v>
      </c>
      <c r="J15" s="18" t="s">
        <v>1017</v>
      </c>
      <c r="K15" s="18" t="s">
        <v>1018</v>
      </c>
    </row>
    <row r="16" customFormat="false" ht="18" hidden="false" customHeight="true" outlineLevel="0" collapsed="false">
      <c r="A16" s="14" t="s">
        <v>1027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customFormat="false" ht="19.5" hidden="false" customHeight="true" outlineLevel="0" collapsed="false">
      <c r="A17" s="15" t="s">
        <v>1028</v>
      </c>
      <c r="B17" s="15" t="s">
        <v>1029</v>
      </c>
      <c r="C17" s="15" t="s">
        <v>1030</v>
      </c>
      <c r="D17" s="15" t="n">
        <v>0.000716</v>
      </c>
      <c r="E17" s="15" t="n">
        <v>0.00268</v>
      </c>
      <c r="F17" s="16"/>
      <c r="G17" s="16"/>
      <c r="H17" s="17" t="n">
        <f aca="false">IFERROR(F17*D17+G17*E17,0)</f>
        <v>0</v>
      </c>
      <c r="I17" s="18" t="s">
        <v>1016</v>
      </c>
      <c r="J17" s="18" t="s">
        <v>1017</v>
      </c>
      <c r="K17" s="18" t="s">
        <v>1018</v>
      </c>
    </row>
    <row r="18" customFormat="false" ht="19.5" hidden="false" customHeight="true" outlineLevel="0" collapsed="false">
      <c r="A18" s="20" t="s">
        <v>1028</v>
      </c>
      <c r="B18" s="20" t="s">
        <v>1031</v>
      </c>
      <c r="C18" s="20" t="s">
        <v>589</v>
      </c>
      <c r="D18" s="20" t="n">
        <v>0.000716</v>
      </c>
      <c r="E18" s="20" t="n">
        <v>0</v>
      </c>
      <c r="F18" s="16"/>
      <c r="G18" s="16"/>
      <c r="H18" s="17" t="n">
        <f aca="false">IFERROR(F18*D18+G18*E18,0)</f>
        <v>0</v>
      </c>
      <c r="I18" s="21" t="s">
        <v>1016</v>
      </c>
      <c r="J18" s="21" t="s">
        <v>1017</v>
      </c>
      <c r="K18" s="21" t="s">
        <v>1018</v>
      </c>
    </row>
    <row r="19" customFormat="false" ht="19.5" hidden="false" customHeight="true" outlineLevel="0" collapsed="false">
      <c r="A19" s="15" t="s">
        <v>1028</v>
      </c>
      <c r="B19" s="15" t="s">
        <v>1032</v>
      </c>
      <c r="C19" s="15" t="s">
        <v>1030</v>
      </c>
      <c r="D19" s="15" t="n">
        <v>0.000716</v>
      </c>
      <c r="E19" s="15" t="n">
        <v>0.00268</v>
      </c>
      <c r="F19" s="16"/>
      <c r="G19" s="16"/>
      <c r="H19" s="17" t="n">
        <f aca="false">IFERROR(F19*D19+G19*E19,0)</f>
        <v>0</v>
      </c>
      <c r="I19" s="18" t="s">
        <v>1016</v>
      </c>
      <c r="J19" s="18" t="s">
        <v>1017</v>
      </c>
      <c r="K19" s="18" t="s">
        <v>1018</v>
      </c>
    </row>
    <row r="20" customFormat="false" ht="18" hidden="false" customHeight="true" outlineLevel="0" collapsed="false">
      <c r="A20" s="14" t="s">
        <v>1033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customFormat="false" ht="19.5" hidden="false" customHeight="true" outlineLevel="0" collapsed="false">
      <c r="A21" s="15" t="s">
        <v>1034</v>
      </c>
      <c r="B21" s="15" t="s">
        <v>1035</v>
      </c>
      <c r="C21" s="15" t="s">
        <v>1036</v>
      </c>
      <c r="D21" s="15" t="n">
        <v>0</v>
      </c>
      <c r="E21" s="15" t="n">
        <v>0.00268</v>
      </c>
      <c r="F21" s="16"/>
      <c r="G21" s="16"/>
      <c r="H21" s="17" t="n">
        <f aca="false">IFERROR(F21*D21+G21*E21,0)</f>
        <v>0</v>
      </c>
      <c r="I21" s="18" t="s">
        <v>1016</v>
      </c>
      <c r="J21" s="18" t="s">
        <v>1017</v>
      </c>
      <c r="K21" s="18" t="s">
        <v>1018</v>
      </c>
    </row>
    <row r="22" customFormat="false" ht="19.5" hidden="false" customHeight="true" outlineLevel="0" collapsed="false">
      <c r="A22" s="20" t="s">
        <v>1034</v>
      </c>
      <c r="B22" s="20" t="s">
        <v>1037</v>
      </c>
      <c r="C22" s="20" t="s">
        <v>1038</v>
      </c>
      <c r="D22" s="20" t="n">
        <v>0</v>
      </c>
      <c r="E22" s="20" t="n">
        <v>0.0277</v>
      </c>
      <c r="F22" s="16"/>
      <c r="G22" s="16"/>
      <c r="H22" s="17" t="n">
        <f aca="false">IFERROR(F22*D22+G22*E22,0)</f>
        <v>0</v>
      </c>
      <c r="I22" s="21" t="s">
        <v>1016</v>
      </c>
      <c r="J22" s="21" t="s">
        <v>1017</v>
      </c>
      <c r="K22" s="21" t="s">
        <v>1018</v>
      </c>
    </row>
    <row r="23" customFormat="false" ht="19.5" hidden="false" customHeight="true" outlineLevel="0" collapsed="false">
      <c r="A23" s="15" t="s">
        <v>1034</v>
      </c>
      <c r="B23" s="15" t="s">
        <v>1039</v>
      </c>
      <c r="C23" s="15" t="s">
        <v>589</v>
      </c>
      <c r="D23" s="15" t="n">
        <v>0.000716</v>
      </c>
      <c r="E23" s="15" t="n">
        <v>0</v>
      </c>
      <c r="F23" s="16"/>
      <c r="G23" s="16"/>
      <c r="H23" s="17" t="n">
        <f aca="false">IFERROR(F23*D23+G23*E23,0)</f>
        <v>0</v>
      </c>
      <c r="I23" s="18" t="s">
        <v>1016</v>
      </c>
      <c r="J23" s="18" t="s">
        <v>1017</v>
      </c>
      <c r="K23" s="18" t="s">
        <v>1018</v>
      </c>
    </row>
    <row r="24" customFormat="false" ht="19.5" hidden="false" customHeight="true" outlineLevel="0" collapsed="false">
      <c r="A24" s="20" t="s">
        <v>1034</v>
      </c>
      <c r="B24" s="20" t="s">
        <v>1040</v>
      </c>
      <c r="C24" s="20" t="s">
        <v>589</v>
      </c>
      <c r="D24" s="20" t="n">
        <v>0.000716</v>
      </c>
      <c r="E24" s="20" t="n">
        <v>0</v>
      </c>
      <c r="F24" s="16"/>
      <c r="G24" s="16"/>
      <c r="H24" s="17" t="n">
        <f aca="false">IFERROR(F24*D24+G24*E24,0)</f>
        <v>0</v>
      </c>
      <c r="I24" s="21" t="s">
        <v>1016</v>
      </c>
      <c r="J24" s="21" t="s">
        <v>1017</v>
      </c>
      <c r="K24" s="21" t="s">
        <v>1018</v>
      </c>
    </row>
    <row r="25" customFormat="false" ht="19.5" hidden="false" customHeight="true" outlineLevel="0" collapsed="false">
      <c r="A25" s="15" t="s">
        <v>1034</v>
      </c>
      <c r="B25" s="15" t="s">
        <v>1041</v>
      </c>
      <c r="C25" s="15" t="s">
        <v>1042</v>
      </c>
      <c r="D25" s="15" t="n">
        <v>0</v>
      </c>
      <c r="E25" s="15" t="n">
        <v>0.00268</v>
      </c>
      <c r="F25" s="16"/>
      <c r="G25" s="16"/>
      <c r="H25" s="17" t="n">
        <f aca="false">IFERROR(F25*D25+G25*E25,0)</f>
        <v>0</v>
      </c>
      <c r="I25" s="18" t="s">
        <v>1016</v>
      </c>
      <c r="J25" s="18" t="s">
        <v>1017</v>
      </c>
      <c r="K25" s="18" t="s">
        <v>1018</v>
      </c>
    </row>
    <row r="26" customFormat="false" ht="19.5" hidden="false" customHeight="true" outlineLevel="0" collapsed="false">
      <c r="A26" s="20" t="s">
        <v>1034</v>
      </c>
      <c r="B26" s="20" t="s">
        <v>1043</v>
      </c>
      <c r="C26" s="20" t="s">
        <v>589</v>
      </c>
      <c r="D26" s="20" t="n">
        <v>0.000716</v>
      </c>
      <c r="E26" s="20" t="n">
        <v>0</v>
      </c>
      <c r="F26" s="16"/>
      <c r="G26" s="16"/>
      <c r="H26" s="17" t="n">
        <f aca="false">IFERROR(F26*D26+G26*E26,0)</f>
        <v>0</v>
      </c>
      <c r="I26" s="21" t="s">
        <v>1016</v>
      </c>
      <c r="J26" s="21" t="s">
        <v>1017</v>
      </c>
      <c r="K26" s="21" t="s">
        <v>1018</v>
      </c>
    </row>
    <row r="27" customFormat="false" ht="18" hidden="false" customHeight="true" outlineLevel="0" collapsed="false">
      <c r="A27" s="14" t="s">
        <v>1044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customFormat="false" ht="19.5" hidden="false" customHeight="true" outlineLevel="0" collapsed="false">
      <c r="A28" s="15" t="s">
        <v>1045</v>
      </c>
      <c r="B28" s="15" t="s">
        <v>1046</v>
      </c>
      <c r="C28" s="15" t="s">
        <v>1047</v>
      </c>
      <c r="D28" s="15" t="n">
        <v>0</v>
      </c>
      <c r="E28" s="15" t="n">
        <v>0.00231</v>
      </c>
      <c r="F28" s="16"/>
      <c r="G28" s="16"/>
      <c r="H28" s="17" t="n">
        <f aca="false">IFERROR(F28*D28+G28*E28,0)</f>
        <v>0</v>
      </c>
      <c r="I28" s="18" t="s">
        <v>1016</v>
      </c>
      <c r="J28" s="18" t="s">
        <v>1017</v>
      </c>
      <c r="K28" s="18" t="s">
        <v>1018</v>
      </c>
    </row>
    <row r="29" customFormat="false" ht="19.5" hidden="false" customHeight="true" outlineLevel="0" collapsed="false">
      <c r="A29" s="20" t="s">
        <v>1045</v>
      </c>
      <c r="B29" s="20" t="s">
        <v>1048</v>
      </c>
      <c r="C29" s="20" t="s">
        <v>589</v>
      </c>
      <c r="D29" s="20" t="n">
        <v>0.000716</v>
      </c>
      <c r="E29" s="20" t="n">
        <v>0</v>
      </c>
      <c r="F29" s="16"/>
      <c r="G29" s="16"/>
      <c r="H29" s="17" t="n">
        <f aca="false">IFERROR(F29*D29+G29*E29,0)</f>
        <v>0</v>
      </c>
      <c r="I29" s="21" t="s">
        <v>1016</v>
      </c>
      <c r="J29" s="21" t="s">
        <v>1017</v>
      </c>
      <c r="K29" s="21" t="s">
        <v>1018</v>
      </c>
    </row>
    <row r="30" customFormat="false" ht="19.5" hidden="false" customHeight="true" outlineLevel="0" collapsed="false">
      <c r="A30" s="15" t="s">
        <v>1045</v>
      </c>
      <c r="B30" s="15" t="s">
        <v>1049</v>
      </c>
      <c r="C30" s="15" t="s">
        <v>1047</v>
      </c>
      <c r="D30" s="15" t="n">
        <v>0</v>
      </c>
      <c r="E30" s="15" t="n">
        <v>0.00251</v>
      </c>
      <c r="F30" s="16"/>
      <c r="G30" s="16"/>
      <c r="H30" s="17" t="n">
        <f aca="false">IFERROR(F30*D30+G30*E30,0)</f>
        <v>0</v>
      </c>
      <c r="I30" s="18" t="s">
        <v>1016</v>
      </c>
      <c r="J30" s="18" t="s">
        <v>1017</v>
      </c>
      <c r="K30" s="18" t="s">
        <v>1018</v>
      </c>
    </row>
    <row r="31" customFormat="false" ht="19.5" hidden="false" customHeight="true" outlineLevel="0" collapsed="false">
      <c r="A31" s="20" t="s">
        <v>1045</v>
      </c>
      <c r="B31" s="20" t="s">
        <v>1050</v>
      </c>
      <c r="C31" s="20" t="s">
        <v>1047</v>
      </c>
      <c r="D31" s="20" t="n">
        <v>0</v>
      </c>
      <c r="E31" s="20" t="n">
        <v>0.00251</v>
      </c>
      <c r="F31" s="16"/>
      <c r="G31" s="16"/>
      <c r="H31" s="17" t="n">
        <f aca="false">IFERROR(F31*D31+G31*E31,0)</f>
        <v>0</v>
      </c>
      <c r="I31" s="21" t="s">
        <v>1016</v>
      </c>
      <c r="J31" s="21" t="s">
        <v>1017</v>
      </c>
      <c r="K31" s="21" t="s">
        <v>1018</v>
      </c>
    </row>
    <row r="32" customFormat="false" ht="19.5" hidden="false" customHeight="true" outlineLevel="0" collapsed="false">
      <c r="A32" s="15" t="s">
        <v>1045</v>
      </c>
      <c r="B32" s="15" t="s">
        <v>1051</v>
      </c>
      <c r="C32" s="15" t="s">
        <v>1047</v>
      </c>
      <c r="D32" s="15" t="n">
        <v>0</v>
      </c>
      <c r="E32" s="15" t="n">
        <v>0.00251</v>
      </c>
      <c r="F32" s="16"/>
      <c r="G32" s="16"/>
      <c r="H32" s="17" t="n">
        <f aca="false">IFERROR(F32*D32+G32*E32,0)</f>
        <v>0</v>
      </c>
      <c r="I32" s="18" t="s">
        <v>1016</v>
      </c>
      <c r="J32" s="18" t="s">
        <v>1017</v>
      </c>
      <c r="K32" s="18" t="s">
        <v>1018</v>
      </c>
    </row>
    <row r="33" customFormat="false" ht="19.5" hidden="false" customHeight="true" outlineLevel="0" collapsed="false">
      <c r="A33" s="20" t="s">
        <v>1045</v>
      </c>
      <c r="B33" s="20" t="s">
        <v>1052</v>
      </c>
      <c r="C33" s="20" t="s">
        <v>589</v>
      </c>
      <c r="D33" s="20" t="n">
        <v>0.000716</v>
      </c>
      <c r="E33" s="20" t="n">
        <v>0</v>
      </c>
      <c r="F33" s="16"/>
      <c r="G33" s="16"/>
      <c r="H33" s="17" t="n">
        <f aca="false">IFERROR(F33*D33+G33*E33,0)</f>
        <v>0</v>
      </c>
      <c r="I33" s="21" t="s">
        <v>1016</v>
      </c>
      <c r="J33" s="21" t="s">
        <v>1017</v>
      </c>
      <c r="K33" s="21" t="s">
        <v>1018</v>
      </c>
    </row>
    <row r="34" customFormat="false" ht="19.5" hidden="false" customHeight="true" outlineLevel="0" collapsed="false">
      <c r="A34" s="15" t="s">
        <v>1045</v>
      </c>
      <c r="B34" s="15" t="s">
        <v>1053</v>
      </c>
      <c r="C34" s="15" t="s">
        <v>1047</v>
      </c>
      <c r="D34" s="15" t="n">
        <v>0</v>
      </c>
      <c r="E34" s="15" t="n">
        <v>0.00268</v>
      </c>
      <c r="F34" s="16"/>
      <c r="G34" s="16"/>
      <c r="H34" s="17" t="n">
        <f aca="false">IFERROR(F34*D34+G34*E34,0)</f>
        <v>0</v>
      </c>
      <c r="I34" s="18" t="s">
        <v>1016</v>
      </c>
      <c r="J34" s="18" t="s">
        <v>1017</v>
      </c>
      <c r="K34" s="18" t="s">
        <v>1018</v>
      </c>
    </row>
    <row r="35" customFormat="false" ht="18" hidden="false" customHeight="true" outlineLevel="0" collapsed="false">
      <c r="A35" s="14" t="s">
        <v>1054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customFormat="false" ht="19.5" hidden="false" customHeight="true" outlineLevel="0" collapsed="false">
      <c r="A36" s="15" t="s">
        <v>174</v>
      </c>
      <c r="B36" s="15" t="s">
        <v>1055</v>
      </c>
      <c r="C36" s="15" t="s">
        <v>1047</v>
      </c>
      <c r="D36" s="15" t="n">
        <v>0</v>
      </c>
      <c r="E36" s="15" t="n">
        <v>0.00268</v>
      </c>
      <c r="F36" s="16"/>
      <c r="G36" s="16"/>
      <c r="H36" s="17" t="n">
        <f aca="false">IFERROR(F36*D36+G36*E36,0)</f>
        <v>0</v>
      </c>
      <c r="I36" s="18" t="s">
        <v>1016</v>
      </c>
      <c r="J36" s="18" t="s">
        <v>1017</v>
      </c>
      <c r="K36" s="18" t="s">
        <v>1018</v>
      </c>
    </row>
    <row r="37" customFormat="false" ht="19.5" hidden="false" customHeight="true" outlineLevel="0" collapsed="false">
      <c r="A37" s="20" t="s">
        <v>174</v>
      </c>
      <c r="B37" s="20" t="s">
        <v>1056</v>
      </c>
      <c r="C37" s="20" t="s">
        <v>1047</v>
      </c>
      <c r="D37" s="20" t="n">
        <v>0</v>
      </c>
      <c r="E37" s="20" t="n">
        <v>0.00268</v>
      </c>
      <c r="F37" s="16"/>
      <c r="G37" s="16"/>
      <c r="H37" s="17" t="n">
        <f aca="false">IFERROR(F37*D37+G37*E37,0)</f>
        <v>0</v>
      </c>
      <c r="I37" s="21" t="s">
        <v>1016</v>
      </c>
      <c r="J37" s="21" t="s">
        <v>1017</v>
      </c>
      <c r="K37" s="21" t="s">
        <v>1018</v>
      </c>
    </row>
    <row r="38" customFormat="false" ht="19.5" hidden="false" customHeight="true" outlineLevel="0" collapsed="false">
      <c r="A38" s="15" t="s">
        <v>174</v>
      </c>
      <c r="B38" s="15" t="s">
        <v>1057</v>
      </c>
      <c r="C38" s="15" t="s">
        <v>589</v>
      </c>
      <c r="D38" s="15" t="n">
        <v>0.000716</v>
      </c>
      <c r="E38" s="15" t="n">
        <v>0</v>
      </c>
      <c r="F38" s="16"/>
      <c r="G38" s="16"/>
      <c r="H38" s="17" t="n">
        <f aca="false">IFERROR(F38*D38+G38*E38,0)</f>
        <v>0</v>
      </c>
      <c r="I38" s="18" t="s">
        <v>1016</v>
      </c>
      <c r="J38" s="18" t="s">
        <v>1017</v>
      </c>
      <c r="K38" s="18" t="s">
        <v>1018</v>
      </c>
    </row>
    <row r="39" customFormat="false" ht="18" hidden="false" customHeight="true" outlineLevel="0" collapsed="false">
      <c r="A39" s="14" t="s">
        <v>1058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customFormat="false" ht="19.5" hidden="false" customHeight="true" outlineLevel="0" collapsed="false">
      <c r="A40" s="15" t="s">
        <v>1059</v>
      </c>
      <c r="B40" s="15" t="s">
        <v>1060</v>
      </c>
      <c r="C40" s="15" t="s">
        <v>1061</v>
      </c>
      <c r="D40" s="15" t="n">
        <v>0.000716</v>
      </c>
      <c r="E40" s="15" t="n">
        <v>0</v>
      </c>
      <c r="F40" s="16"/>
      <c r="G40" s="16"/>
      <c r="H40" s="17" t="n">
        <f aca="false">IFERROR(F40*D40+G40*E40,0)</f>
        <v>0</v>
      </c>
      <c r="I40" s="18" t="s">
        <v>1016</v>
      </c>
      <c r="J40" s="18" t="s">
        <v>1017</v>
      </c>
      <c r="K40" s="18" t="s">
        <v>1018</v>
      </c>
    </row>
    <row r="41" customFormat="false" ht="19.5" hidden="false" customHeight="true" outlineLevel="0" collapsed="false">
      <c r="A41" s="20" t="s">
        <v>1059</v>
      </c>
      <c r="B41" s="20" t="s">
        <v>1062</v>
      </c>
      <c r="C41" s="20" t="s">
        <v>1063</v>
      </c>
      <c r="D41" s="20" t="n">
        <v>0.000716</v>
      </c>
      <c r="E41" s="20" t="n">
        <v>0.00268</v>
      </c>
      <c r="F41" s="16"/>
      <c r="G41" s="16"/>
      <c r="H41" s="17" t="n">
        <f aca="false">IFERROR(F41*D41+G41*E41,0)</f>
        <v>0</v>
      </c>
      <c r="I41" s="21" t="s">
        <v>1016</v>
      </c>
      <c r="J41" s="21" t="s">
        <v>1017</v>
      </c>
      <c r="K41" s="21" t="s">
        <v>1018</v>
      </c>
    </row>
    <row r="42" customFormat="false" ht="18" hidden="false" customHeight="true" outlineLevel="0" collapsed="false">
      <c r="A42" s="14" t="s">
        <v>1064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customFormat="false" ht="19.5" hidden="false" customHeight="true" outlineLevel="0" collapsed="false">
      <c r="A43" s="15" t="s">
        <v>109</v>
      </c>
      <c r="B43" s="15" t="s">
        <v>1065</v>
      </c>
      <c r="C43" s="15" t="s">
        <v>1047</v>
      </c>
      <c r="D43" s="15" t="n">
        <v>0</v>
      </c>
      <c r="E43" s="15" t="n">
        <v>0.00268</v>
      </c>
      <c r="F43" s="16"/>
      <c r="G43" s="16"/>
      <c r="H43" s="17" t="n">
        <f aca="false">IFERROR(F43*D43+G43*E43,0)</f>
        <v>0</v>
      </c>
      <c r="I43" s="18" t="s">
        <v>1016</v>
      </c>
      <c r="J43" s="18" t="s">
        <v>1017</v>
      </c>
      <c r="K43" s="18" t="s">
        <v>1018</v>
      </c>
    </row>
    <row r="44" customFormat="false" ht="19.5" hidden="false" customHeight="true" outlineLevel="0" collapsed="false">
      <c r="A44" s="20" t="s">
        <v>109</v>
      </c>
      <c r="B44" s="20" t="s">
        <v>1066</v>
      </c>
      <c r="C44" s="20" t="s">
        <v>1047</v>
      </c>
      <c r="D44" s="20" t="n">
        <v>0</v>
      </c>
      <c r="E44" s="20" t="n">
        <v>0.00268</v>
      </c>
      <c r="F44" s="16"/>
      <c r="G44" s="16"/>
      <c r="H44" s="17" t="n">
        <f aca="false">IFERROR(F44*D44+G44*E44,0)</f>
        <v>0</v>
      </c>
      <c r="I44" s="21" t="s">
        <v>1016</v>
      </c>
      <c r="J44" s="21" t="s">
        <v>1017</v>
      </c>
      <c r="K44" s="21" t="s">
        <v>1018</v>
      </c>
    </row>
    <row r="45" customFormat="false" ht="19.5" hidden="false" customHeight="true" outlineLevel="0" collapsed="false">
      <c r="A45" s="15" t="s">
        <v>109</v>
      </c>
      <c r="B45" s="15" t="s">
        <v>1067</v>
      </c>
      <c r="C45" s="15" t="s">
        <v>1047</v>
      </c>
      <c r="D45" s="15" t="n">
        <v>0</v>
      </c>
      <c r="E45" s="15" t="n">
        <v>0.00268</v>
      </c>
      <c r="F45" s="16"/>
      <c r="G45" s="16"/>
      <c r="H45" s="17" t="n">
        <f aca="false">IFERROR(F45*D45+G45*E45,0)</f>
        <v>0</v>
      </c>
      <c r="I45" s="18" t="s">
        <v>1016</v>
      </c>
      <c r="J45" s="18" t="s">
        <v>1017</v>
      </c>
      <c r="K45" s="18" t="s">
        <v>1018</v>
      </c>
    </row>
    <row r="46" customFormat="false" ht="19.5" hidden="false" customHeight="true" outlineLevel="0" collapsed="false">
      <c r="A46" s="20" t="s">
        <v>109</v>
      </c>
      <c r="B46" s="20" t="s">
        <v>1068</v>
      </c>
      <c r="C46" s="20" t="s">
        <v>589</v>
      </c>
      <c r="D46" s="20" t="n">
        <v>0.000716</v>
      </c>
      <c r="E46" s="20" t="n">
        <v>0</v>
      </c>
      <c r="F46" s="16"/>
      <c r="G46" s="16"/>
      <c r="H46" s="17" t="n">
        <f aca="false">IFERROR(F46*D46+G46*E46,0)</f>
        <v>0</v>
      </c>
      <c r="I46" s="21" t="s">
        <v>1016</v>
      </c>
      <c r="J46" s="21" t="s">
        <v>1017</v>
      </c>
      <c r="K46" s="21" t="s">
        <v>1018</v>
      </c>
    </row>
    <row r="47" customFormat="false" ht="18" hidden="false" customHeight="true" outlineLevel="0" collapsed="false">
      <c r="A47" s="23" t="s">
        <v>430</v>
      </c>
      <c r="B47" s="23"/>
      <c r="C47" s="23"/>
      <c r="D47" s="23"/>
      <c r="E47" s="23"/>
      <c r="F47" s="23"/>
      <c r="G47" s="23"/>
      <c r="H47" s="24" t="n">
        <f aca="false">SUM(H6:H46)</f>
        <v>0</v>
      </c>
      <c r="I47" s="23"/>
      <c r="J47" s="23"/>
      <c r="K47" s="23"/>
    </row>
    <row r="48" customFormat="false" ht="15.75" hidden="false" customHeight="true" outlineLevel="0" collapsed="false"/>
    <row r="49" customFormat="false" ht="15.75" hidden="false" customHeight="true" outlineLevel="0" collapsed="false">
      <c r="A49" s="25" t="s">
        <v>1069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2">
    <mergeCell ref="A1:L1"/>
    <mergeCell ref="A2:L2"/>
    <mergeCell ref="A3:L3"/>
    <mergeCell ref="A6:K6"/>
    <mergeCell ref="A12:K12"/>
    <mergeCell ref="A16:K16"/>
    <mergeCell ref="A20:K20"/>
    <mergeCell ref="A27:K27"/>
    <mergeCell ref="A35:K35"/>
    <mergeCell ref="A39:K39"/>
    <mergeCell ref="A42:K42"/>
    <mergeCell ref="A49:K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36"/>
    <col collapsed="false" customWidth="true" hidden="false" outlineLevel="0" max="6" min="6" style="1" width="12"/>
    <col collapsed="false" customWidth="true" hidden="false" outlineLevel="0" max="9" min="7" style="1" width="14"/>
    <col collapsed="false" customWidth="true" hidden="false" outlineLevel="0" max="14" min="10" style="1" width="24"/>
    <col collapsed="false" customWidth="true" hidden="false" outlineLevel="0" max="26" min="15" style="1" width="8.71"/>
  </cols>
  <sheetData>
    <row r="1" customFormat="false" ht="27.75" hidden="false" customHeight="true" outlineLevel="0" collapsed="false">
      <c r="A1" s="10" t="s">
        <v>1070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30" hidden="false" customHeight="true" outlineLevel="0" collapsed="false">
      <c r="A2" s="38" t="s">
        <v>1071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665</v>
      </c>
      <c r="B5" s="13" t="s">
        <v>1072</v>
      </c>
      <c r="C5" s="13" t="s">
        <v>1073</v>
      </c>
      <c r="D5" s="13" t="s">
        <v>1074</v>
      </c>
      <c r="E5" s="13" t="s">
        <v>1075</v>
      </c>
      <c r="F5" s="13" t="s">
        <v>1076</v>
      </c>
      <c r="G5" s="13" t="s">
        <v>1077</v>
      </c>
      <c r="H5" s="13" t="s">
        <v>660</v>
      </c>
      <c r="I5" s="13" t="s">
        <v>440</v>
      </c>
      <c r="J5" s="13" t="s">
        <v>97</v>
      </c>
      <c r="K5" s="13" t="s">
        <v>98</v>
      </c>
    </row>
    <row r="6" customFormat="false" ht="18" hidden="false" customHeight="true" outlineLevel="0" collapsed="false">
      <c r="A6" s="14" t="s">
        <v>1078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customFormat="false" ht="19.5" hidden="false" customHeight="true" outlineLevel="0" collapsed="false">
      <c r="A7" s="15" t="s">
        <v>671</v>
      </c>
      <c r="B7" s="15" t="s">
        <v>1079</v>
      </c>
      <c r="C7" s="15" t="s">
        <v>1080</v>
      </c>
      <c r="D7" s="15" t="n">
        <v>0.0001</v>
      </c>
      <c r="E7" s="15" t="n">
        <v>0</v>
      </c>
      <c r="F7" s="16"/>
      <c r="G7" s="16"/>
      <c r="H7" s="17" t="n">
        <f aca="false">IFERROR(F7*G7,0)</f>
        <v>0</v>
      </c>
      <c r="I7" s="17" t="n">
        <f aca="false">IFERROR(H7*D7+E7,0)</f>
        <v>0</v>
      </c>
      <c r="J7" s="18" t="s">
        <v>1081</v>
      </c>
      <c r="K7" s="18" t="s">
        <v>1082</v>
      </c>
    </row>
    <row r="8" customFormat="false" ht="19.5" hidden="false" customHeight="true" outlineLevel="0" collapsed="false">
      <c r="A8" s="20" t="s">
        <v>671</v>
      </c>
      <c r="B8" s="20" t="s">
        <v>1083</v>
      </c>
      <c r="C8" s="20" t="s">
        <v>1080</v>
      </c>
      <c r="D8" s="20" t="n">
        <v>8E-005</v>
      </c>
      <c r="E8" s="20" t="n">
        <v>0</v>
      </c>
      <c r="F8" s="16"/>
      <c r="G8" s="16"/>
      <c r="H8" s="17" t="n">
        <f aca="false">IFERROR(F8*G8,0)</f>
        <v>0</v>
      </c>
      <c r="I8" s="17" t="n">
        <f aca="false">IFERROR(H8*D8+E8,0)</f>
        <v>0</v>
      </c>
      <c r="J8" s="21" t="s">
        <v>1081</v>
      </c>
      <c r="K8" s="21" t="s">
        <v>1082</v>
      </c>
    </row>
    <row r="9" customFormat="false" ht="19.5" hidden="false" customHeight="true" outlineLevel="0" collapsed="false">
      <c r="A9" s="15" t="s">
        <v>671</v>
      </c>
      <c r="B9" s="15" t="s">
        <v>1084</v>
      </c>
      <c r="C9" s="15" t="s">
        <v>1080</v>
      </c>
      <c r="D9" s="15" t="n">
        <v>0.00015</v>
      </c>
      <c r="E9" s="15" t="n">
        <v>0</v>
      </c>
      <c r="F9" s="16"/>
      <c r="G9" s="16"/>
      <c r="H9" s="17" t="n">
        <f aca="false">IFERROR(F9*G9,0)</f>
        <v>0</v>
      </c>
      <c r="I9" s="17" t="n">
        <f aca="false">IFERROR(H9*D9+E9,0)</f>
        <v>0</v>
      </c>
      <c r="J9" s="18" t="s">
        <v>1081</v>
      </c>
      <c r="K9" s="18" t="s">
        <v>1082</v>
      </c>
    </row>
    <row r="10" customFormat="false" ht="19.5" hidden="false" customHeight="true" outlineLevel="0" collapsed="false">
      <c r="A10" s="20" t="s">
        <v>671</v>
      </c>
      <c r="B10" s="20" t="s">
        <v>1085</v>
      </c>
      <c r="C10" s="20" t="s">
        <v>1080</v>
      </c>
      <c r="D10" s="20" t="n">
        <v>0.00022</v>
      </c>
      <c r="E10" s="20" t="n">
        <v>0</v>
      </c>
      <c r="F10" s="16"/>
      <c r="G10" s="16"/>
      <c r="H10" s="17" t="n">
        <f aca="false">IFERROR(F10*G10,0)</f>
        <v>0</v>
      </c>
      <c r="I10" s="17" t="n">
        <f aca="false">IFERROR(H10*D10+E10,0)</f>
        <v>0</v>
      </c>
      <c r="J10" s="21" t="s">
        <v>1081</v>
      </c>
      <c r="K10" s="21" t="s">
        <v>1082</v>
      </c>
    </row>
    <row r="11" customFormat="false" ht="19.5" hidden="false" customHeight="true" outlineLevel="0" collapsed="false">
      <c r="A11" s="15" t="s">
        <v>671</v>
      </c>
      <c r="B11" s="15" t="s">
        <v>1086</v>
      </c>
      <c r="C11" s="15" t="s">
        <v>1080</v>
      </c>
      <c r="D11" s="15" t="n">
        <v>0.00032</v>
      </c>
      <c r="E11" s="15" t="n">
        <v>0</v>
      </c>
      <c r="F11" s="16"/>
      <c r="G11" s="16"/>
      <c r="H11" s="17" t="n">
        <f aca="false">IFERROR(F11*G11,0)</f>
        <v>0</v>
      </c>
      <c r="I11" s="17" t="n">
        <f aca="false">IFERROR(H11*D11+E11,0)</f>
        <v>0</v>
      </c>
      <c r="J11" s="18" t="s">
        <v>1081</v>
      </c>
      <c r="K11" s="18" t="s">
        <v>1082</v>
      </c>
    </row>
    <row r="12" customFormat="false" ht="19.5" hidden="false" customHeight="true" outlineLevel="0" collapsed="false">
      <c r="A12" s="20" t="s">
        <v>671</v>
      </c>
      <c r="B12" s="20" t="s">
        <v>1087</v>
      </c>
      <c r="C12" s="20" t="s">
        <v>1088</v>
      </c>
      <c r="D12" s="20" t="n">
        <v>0.00013</v>
      </c>
      <c r="E12" s="20" t="n">
        <v>2.5</v>
      </c>
      <c r="F12" s="16"/>
      <c r="G12" s="16"/>
      <c r="H12" s="17" t="n">
        <f aca="false">IFERROR(F12*G12,0)</f>
        <v>0</v>
      </c>
      <c r="I12" s="17" t="n">
        <f aca="false">IFERROR(H12*D12+E12,0)</f>
        <v>2.5</v>
      </c>
      <c r="J12" s="21" t="s">
        <v>1081</v>
      </c>
      <c r="K12" s="21" t="s">
        <v>1082</v>
      </c>
    </row>
    <row r="13" customFormat="false" ht="19.5" hidden="false" customHeight="true" outlineLevel="0" collapsed="false">
      <c r="A13" s="15" t="s">
        <v>671</v>
      </c>
      <c r="B13" s="15" t="s">
        <v>1089</v>
      </c>
      <c r="C13" s="15" t="s">
        <v>605</v>
      </c>
      <c r="D13" s="15" t="n">
        <v>7.2E-005</v>
      </c>
      <c r="E13" s="15" t="n">
        <v>0</v>
      </c>
      <c r="F13" s="16"/>
      <c r="G13" s="16"/>
      <c r="H13" s="17" t="n">
        <f aca="false">IFERROR(F13*G13,0)</f>
        <v>0</v>
      </c>
      <c r="I13" s="17" t="n">
        <f aca="false">IFERROR(H13*D13+E13,0)</f>
        <v>0</v>
      </c>
      <c r="J13" s="18" t="s">
        <v>1081</v>
      </c>
      <c r="K13" s="18" t="s">
        <v>1082</v>
      </c>
    </row>
    <row r="14" customFormat="false" ht="19.5" hidden="false" customHeight="true" outlineLevel="0" collapsed="false">
      <c r="A14" s="20" t="s">
        <v>671</v>
      </c>
      <c r="B14" s="20" t="s">
        <v>1090</v>
      </c>
      <c r="C14" s="20" t="s">
        <v>965</v>
      </c>
      <c r="D14" s="20" t="n">
        <v>4E-005</v>
      </c>
      <c r="E14" s="20" t="n">
        <v>0</v>
      </c>
      <c r="F14" s="16"/>
      <c r="G14" s="16"/>
      <c r="H14" s="17" t="n">
        <f aca="false">IFERROR(F14*G14,0)</f>
        <v>0</v>
      </c>
      <c r="I14" s="17" t="n">
        <f aca="false">IFERROR(H14*D14+E14,0)</f>
        <v>0</v>
      </c>
      <c r="J14" s="21" t="s">
        <v>1081</v>
      </c>
      <c r="K14" s="21" t="s">
        <v>1082</v>
      </c>
    </row>
    <row r="15" customFormat="false" ht="19.5" hidden="false" customHeight="true" outlineLevel="0" collapsed="false">
      <c r="A15" s="15" t="s">
        <v>671</v>
      </c>
      <c r="B15" s="15" t="s">
        <v>1091</v>
      </c>
      <c r="C15" s="15" t="s">
        <v>625</v>
      </c>
      <c r="D15" s="15" t="n">
        <v>7.8E-005</v>
      </c>
      <c r="E15" s="15" t="n">
        <v>0</v>
      </c>
      <c r="F15" s="16"/>
      <c r="G15" s="16"/>
      <c r="H15" s="17" t="n">
        <f aca="false">IFERROR(F15*G15,0)</f>
        <v>0</v>
      </c>
      <c r="I15" s="17" t="n">
        <f aca="false">IFERROR(H15*D15+E15,0)</f>
        <v>0</v>
      </c>
      <c r="J15" s="18" t="s">
        <v>1081</v>
      </c>
      <c r="K15" s="18" t="s">
        <v>1082</v>
      </c>
    </row>
    <row r="16" customFormat="false" ht="19.5" hidden="false" customHeight="true" outlineLevel="0" collapsed="false">
      <c r="A16" s="20" t="s">
        <v>671</v>
      </c>
      <c r="B16" s="20" t="s">
        <v>1092</v>
      </c>
      <c r="C16" s="20" t="s">
        <v>608</v>
      </c>
      <c r="D16" s="20" t="n">
        <v>0.00068</v>
      </c>
      <c r="E16" s="20" t="n">
        <v>0</v>
      </c>
      <c r="F16" s="16"/>
      <c r="G16" s="16"/>
      <c r="H16" s="17" t="n">
        <f aca="false">IFERROR(F16*G16,0)</f>
        <v>0</v>
      </c>
      <c r="I16" s="17" t="n">
        <f aca="false">IFERROR(H16*D16+E16,0)</f>
        <v>0</v>
      </c>
      <c r="J16" s="21" t="s">
        <v>1081</v>
      </c>
      <c r="K16" s="21" t="s">
        <v>1082</v>
      </c>
    </row>
    <row r="17" customFormat="false" ht="19.5" hidden="false" customHeight="true" outlineLevel="0" collapsed="false">
      <c r="A17" s="15" t="s">
        <v>671</v>
      </c>
      <c r="B17" s="15" t="s">
        <v>1093</v>
      </c>
      <c r="C17" s="15" t="s">
        <v>965</v>
      </c>
      <c r="D17" s="15" t="n">
        <v>0.00012</v>
      </c>
      <c r="E17" s="15" t="n">
        <v>0</v>
      </c>
      <c r="F17" s="16"/>
      <c r="G17" s="16"/>
      <c r="H17" s="17" t="n">
        <f aca="false">IFERROR(F17*G17,0)</f>
        <v>0</v>
      </c>
      <c r="I17" s="17" t="n">
        <f aca="false">IFERROR(H17*D17+E17,0)</f>
        <v>0</v>
      </c>
      <c r="J17" s="18" t="s">
        <v>1081</v>
      </c>
      <c r="K17" s="18" t="s">
        <v>1082</v>
      </c>
    </row>
    <row r="18" customFormat="false" ht="18" hidden="false" customHeight="true" outlineLevel="0" collapsed="false">
      <c r="A18" s="14" t="s">
        <v>1094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customFormat="false" ht="19.5" hidden="false" customHeight="true" outlineLevel="0" collapsed="false">
      <c r="A19" s="15" t="s">
        <v>694</v>
      </c>
      <c r="B19" s="15" t="s">
        <v>1095</v>
      </c>
      <c r="C19" s="15" t="s">
        <v>605</v>
      </c>
      <c r="D19" s="15" t="n">
        <v>2.8E-005</v>
      </c>
      <c r="E19" s="15" t="n">
        <v>0</v>
      </c>
      <c r="F19" s="16"/>
      <c r="G19" s="16"/>
      <c r="H19" s="17" t="n">
        <f aca="false">IFERROR(F19*G19,0)</f>
        <v>0</v>
      </c>
      <c r="I19" s="17" t="n">
        <f aca="false">IFERROR(H19*D19+E19,0)</f>
        <v>0</v>
      </c>
      <c r="J19" s="18" t="s">
        <v>1081</v>
      </c>
      <c r="K19" s="18" t="s">
        <v>1082</v>
      </c>
    </row>
    <row r="20" customFormat="false" ht="19.5" hidden="false" customHeight="true" outlineLevel="0" collapsed="false">
      <c r="A20" s="20" t="s">
        <v>694</v>
      </c>
      <c r="B20" s="20" t="s">
        <v>1096</v>
      </c>
      <c r="C20" s="20" t="s">
        <v>965</v>
      </c>
      <c r="D20" s="20" t="n">
        <v>3.5E-006</v>
      </c>
      <c r="E20" s="20" t="n">
        <v>0</v>
      </c>
      <c r="F20" s="16"/>
      <c r="G20" s="16"/>
      <c r="H20" s="17" t="n">
        <f aca="false">IFERROR(F20*G20,0)</f>
        <v>0</v>
      </c>
      <c r="I20" s="17" t="n">
        <f aca="false">IFERROR(H20*D20+E20,0)</f>
        <v>0</v>
      </c>
      <c r="J20" s="21" t="s">
        <v>1081</v>
      </c>
      <c r="K20" s="21" t="s">
        <v>1082</v>
      </c>
    </row>
    <row r="21" customFormat="false" ht="19.5" hidden="false" customHeight="true" outlineLevel="0" collapsed="false">
      <c r="A21" s="15" t="s">
        <v>694</v>
      </c>
      <c r="B21" s="15" t="s">
        <v>1097</v>
      </c>
      <c r="C21" s="15" t="s">
        <v>965</v>
      </c>
      <c r="D21" s="15" t="n">
        <v>3.5E-006</v>
      </c>
      <c r="E21" s="15" t="n">
        <v>0</v>
      </c>
      <c r="F21" s="16"/>
      <c r="G21" s="16"/>
      <c r="H21" s="17" t="n">
        <f aca="false">IFERROR(F21*G21,0)</f>
        <v>0</v>
      </c>
      <c r="I21" s="17" t="n">
        <f aca="false">IFERROR(H21*D21+E21,0)</f>
        <v>0</v>
      </c>
      <c r="J21" s="18" t="s">
        <v>1081</v>
      </c>
      <c r="K21" s="18" t="s">
        <v>1082</v>
      </c>
    </row>
    <row r="22" customFormat="false" ht="19.5" hidden="false" customHeight="true" outlineLevel="0" collapsed="false">
      <c r="A22" s="20" t="s">
        <v>694</v>
      </c>
      <c r="B22" s="20" t="s">
        <v>1098</v>
      </c>
      <c r="C22" s="20" t="s">
        <v>605</v>
      </c>
      <c r="D22" s="20" t="n">
        <v>2.8E-005</v>
      </c>
      <c r="E22" s="20" t="n">
        <v>0</v>
      </c>
      <c r="F22" s="16"/>
      <c r="G22" s="16"/>
      <c r="H22" s="17" t="n">
        <f aca="false">IFERROR(F22*G22,0)</f>
        <v>0</v>
      </c>
      <c r="I22" s="17" t="n">
        <f aca="false">IFERROR(H22*D22+E22,0)</f>
        <v>0</v>
      </c>
      <c r="J22" s="21" t="s">
        <v>1081</v>
      </c>
      <c r="K22" s="21" t="s">
        <v>1082</v>
      </c>
    </row>
    <row r="23" customFormat="false" ht="19.5" hidden="false" customHeight="true" outlineLevel="0" collapsed="false">
      <c r="A23" s="15" t="s">
        <v>694</v>
      </c>
      <c r="B23" s="15" t="s">
        <v>1099</v>
      </c>
      <c r="C23" s="15" t="s">
        <v>965</v>
      </c>
      <c r="D23" s="15" t="n">
        <v>2.8E-006</v>
      </c>
      <c r="E23" s="15" t="n">
        <v>0</v>
      </c>
      <c r="F23" s="16"/>
      <c r="G23" s="16"/>
      <c r="H23" s="17" t="n">
        <f aca="false">IFERROR(F23*G23,0)</f>
        <v>0</v>
      </c>
      <c r="I23" s="17" t="n">
        <f aca="false">IFERROR(H23*D23+E23,0)</f>
        <v>0</v>
      </c>
      <c r="J23" s="18" t="s">
        <v>1081</v>
      </c>
      <c r="K23" s="18" t="s">
        <v>1082</v>
      </c>
    </row>
    <row r="24" customFormat="false" ht="18" hidden="false" customHeight="true" outlineLevel="0" collapsed="false">
      <c r="A24" s="14" t="s">
        <v>1100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customFormat="false" ht="19.5" hidden="false" customHeight="true" outlineLevel="0" collapsed="false">
      <c r="A25" s="15" t="s">
        <v>698</v>
      </c>
      <c r="B25" s="15" t="s">
        <v>1101</v>
      </c>
      <c r="C25" s="15" t="s">
        <v>1102</v>
      </c>
      <c r="D25" s="15" t="n">
        <v>1.19E-005</v>
      </c>
      <c r="E25" s="15" t="n">
        <v>0</v>
      </c>
      <c r="F25" s="16"/>
      <c r="G25" s="16"/>
      <c r="H25" s="17" t="n">
        <f aca="false">IFERROR(F25*G25,0)</f>
        <v>0</v>
      </c>
      <c r="I25" s="17" t="n">
        <f aca="false">IFERROR(H25*D25+E25,0)</f>
        <v>0</v>
      </c>
      <c r="J25" s="18" t="s">
        <v>1081</v>
      </c>
      <c r="K25" s="18" t="s">
        <v>1082</v>
      </c>
    </row>
    <row r="26" customFormat="false" ht="19.5" hidden="false" customHeight="true" outlineLevel="0" collapsed="false">
      <c r="A26" s="20" t="s">
        <v>698</v>
      </c>
      <c r="B26" s="20" t="s">
        <v>1103</v>
      </c>
      <c r="C26" s="20" t="s">
        <v>1104</v>
      </c>
      <c r="D26" s="20" t="n">
        <v>7.2E-006</v>
      </c>
      <c r="E26" s="20" t="n">
        <v>0</v>
      </c>
      <c r="F26" s="16"/>
      <c r="G26" s="16"/>
      <c r="H26" s="17" t="n">
        <f aca="false">IFERROR(F26*G26,0)</f>
        <v>0</v>
      </c>
      <c r="I26" s="17" t="n">
        <f aca="false">IFERROR(H26*D26+E26,0)</f>
        <v>0</v>
      </c>
      <c r="J26" s="21" t="s">
        <v>1081</v>
      </c>
      <c r="K26" s="21" t="s">
        <v>1082</v>
      </c>
    </row>
    <row r="27" customFormat="false" ht="19.5" hidden="false" customHeight="true" outlineLevel="0" collapsed="false">
      <c r="A27" s="15" t="s">
        <v>698</v>
      </c>
      <c r="B27" s="15" t="s">
        <v>1105</v>
      </c>
      <c r="C27" s="15" t="s">
        <v>1104</v>
      </c>
      <c r="D27" s="15" t="n">
        <v>5E-006</v>
      </c>
      <c r="E27" s="15" t="n">
        <v>0</v>
      </c>
      <c r="F27" s="16"/>
      <c r="G27" s="16"/>
      <c r="H27" s="17" t="n">
        <f aca="false">IFERROR(F27*G27,0)</f>
        <v>0</v>
      </c>
      <c r="I27" s="17" t="n">
        <f aca="false">IFERROR(H27*D27+E27,0)</f>
        <v>0</v>
      </c>
      <c r="J27" s="18" t="s">
        <v>1081</v>
      </c>
      <c r="K27" s="18" t="s">
        <v>1082</v>
      </c>
    </row>
    <row r="28" customFormat="false" ht="19.5" hidden="false" customHeight="true" outlineLevel="0" collapsed="false">
      <c r="A28" s="20" t="s">
        <v>698</v>
      </c>
      <c r="B28" s="20" t="s">
        <v>1106</v>
      </c>
      <c r="C28" s="20" t="s">
        <v>1104</v>
      </c>
      <c r="D28" s="20" t="n">
        <v>6E-006</v>
      </c>
      <c r="E28" s="20" t="n">
        <v>0</v>
      </c>
      <c r="F28" s="16"/>
      <c r="G28" s="16"/>
      <c r="H28" s="17" t="n">
        <f aca="false">IFERROR(F28*G28,0)</f>
        <v>0</v>
      </c>
      <c r="I28" s="17" t="n">
        <f aca="false">IFERROR(H28*D28+E28,0)</f>
        <v>0</v>
      </c>
      <c r="J28" s="21" t="s">
        <v>1081</v>
      </c>
      <c r="K28" s="21" t="s">
        <v>1082</v>
      </c>
    </row>
    <row r="29" customFormat="false" ht="19.5" hidden="false" customHeight="true" outlineLevel="0" collapsed="false">
      <c r="A29" s="15" t="s">
        <v>698</v>
      </c>
      <c r="B29" s="15" t="s">
        <v>1107</v>
      </c>
      <c r="C29" s="15" t="s">
        <v>1104</v>
      </c>
      <c r="D29" s="15" t="n">
        <v>1.1E-005</v>
      </c>
      <c r="E29" s="15" t="n">
        <v>0</v>
      </c>
      <c r="F29" s="16"/>
      <c r="G29" s="16"/>
      <c r="H29" s="17" t="n">
        <f aca="false">IFERROR(F29*G29,0)</f>
        <v>0</v>
      </c>
      <c r="I29" s="17" t="n">
        <f aca="false">IFERROR(H29*D29+E29,0)</f>
        <v>0</v>
      </c>
      <c r="J29" s="18" t="s">
        <v>1081</v>
      </c>
      <c r="K29" s="18" t="s">
        <v>1082</v>
      </c>
    </row>
    <row r="30" customFormat="false" ht="19.5" hidden="false" customHeight="true" outlineLevel="0" collapsed="false">
      <c r="A30" s="20" t="s">
        <v>698</v>
      </c>
      <c r="B30" s="20" t="s">
        <v>1108</v>
      </c>
      <c r="C30" s="20" t="s">
        <v>1109</v>
      </c>
      <c r="D30" s="20" t="n">
        <v>8.5E-006</v>
      </c>
      <c r="E30" s="20" t="n">
        <v>0</v>
      </c>
      <c r="F30" s="16"/>
      <c r="G30" s="16"/>
      <c r="H30" s="17" t="n">
        <f aca="false">IFERROR(F30*G30,0)</f>
        <v>0</v>
      </c>
      <c r="I30" s="17" t="n">
        <f aca="false">IFERROR(H30*D30+E30,0)</f>
        <v>0</v>
      </c>
      <c r="J30" s="21" t="s">
        <v>1081</v>
      </c>
      <c r="K30" s="21" t="s">
        <v>1082</v>
      </c>
    </row>
    <row r="31" customFormat="false" ht="19.5" hidden="false" customHeight="true" outlineLevel="0" collapsed="false">
      <c r="A31" s="15" t="s">
        <v>698</v>
      </c>
      <c r="B31" s="15" t="s">
        <v>1110</v>
      </c>
      <c r="C31" s="15" t="s">
        <v>1111</v>
      </c>
      <c r="D31" s="15" t="n">
        <v>2.1E-005</v>
      </c>
      <c r="E31" s="15" t="n">
        <v>0</v>
      </c>
      <c r="F31" s="16"/>
      <c r="G31" s="16"/>
      <c r="H31" s="17" t="n">
        <f aca="false">IFERROR(F31*G31,0)</f>
        <v>0</v>
      </c>
      <c r="I31" s="17" t="n">
        <f aca="false">IFERROR(H31*D31+E31,0)</f>
        <v>0</v>
      </c>
      <c r="J31" s="18" t="s">
        <v>1081</v>
      </c>
      <c r="K31" s="18" t="s">
        <v>1082</v>
      </c>
    </row>
    <row r="32" customFormat="false" ht="19.5" hidden="false" customHeight="true" outlineLevel="0" collapsed="false">
      <c r="A32" s="20" t="s">
        <v>698</v>
      </c>
      <c r="B32" s="20" t="s">
        <v>1112</v>
      </c>
      <c r="C32" s="20" t="s">
        <v>605</v>
      </c>
      <c r="D32" s="20" t="n">
        <v>3.1E-005</v>
      </c>
      <c r="E32" s="20" t="n">
        <v>0</v>
      </c>
      <c r="F32" s="16"/>
      <c r="G32" s="16"/>
      <c r="H32" s="17" t="n">
        <f aca="false">IFERROR(F32*G32,0)</f>
        <v>0</v>
      </c>
      <c r="I32" s="17" t="n">
        <f aca="false">IFERROR(H32*D32+E32,0)</f>
        <v>0</v>
      </c>
      <c r="J32" s="21" t="s">
        <v>1081</v>
      </c>
      <c r="K32" s="21" t="s">
        <v>1082</v>
      </c>
    </row>
    <row r="33" customFormat="false" ht="18" hidden="false" customHeight="true" outlineLevel="0" collapsed="false">
      <c r="A33" s="14" t="s">
        <v>1113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customFormat="false" ht="19.5" hidden="false" customHeight="true" outlineLevel="0" collapsed="false">
      <c r="A34" s="15" t="s">
        <v>708</v>
      </c>
      <c r="B34" s="15" t="s">
        <v>1114</v>
      </c>
      <c r="C34" s="15" t="s">
        <v>1115</v>
      </c>
      <c r="D34" s="15" t="n">
        <v>0.000602</v>
      </c>
      <c r="E34" s="15" t="n">
        <v>0</v>
      </c>
      <c r="F34" s="16"/>
      <c r="G34" s="16"/>
      <c r="H34" s="17" t="n">
        <f aca="false">IFERROR(F34*G34,0)</f>
        <v>0</v>
      </c>
      <c r="I34" s="17" t="n">
        <f aca="false">IFERROR(H34*D34+E34,0)</f>
        <v>0</v>
      </c>
      <c r="J34" s="18" t="s">
        <v>1081</v>
      </c>
      <c r="K34" s="18" t="s">
        <v>1082</v>
      </c>
    </row>
    <row r="35" customFormat="false" ht="19.5" hidden="false" customHeight="true" outlineLevel="0" collapsed="false">
      <c r="A35" s="20" t="s">
        <v>708</v>
      </c>
      <c r="B35" s="20" t="s">
        <v>1116</v>
      </c>
      <c r="C35" s="20" t="s">
        <v>1115</v>
      </c>
      <c r="D35" s="20" t="n">
        <v>0.000602</v>
      </c>
      <c r="E35" s="20" t="n">
        <v>0</v>
      </c>
      <c r="F35" s="16"/>
      <c r="G35" s="16"/>
      <c r="H35" s="17" t="n">
        <f aca="false">IFERROR(F35*G35,0)</f>
        <v>0</v>
      </c>
      <c r="I35" s="17" t="n">
        <f aca="false">IFERROR(H35*D35+E35,0)</f>
        <v>0</v>
      </c>
      <c r="J35" s="21" t="s">
        <v>1081</v>
      </c>
      <c r="K35" s="21" t="s">
        <v>1082</v>
      </c>
    </row>
    <row r="36" customFormat="false" ht="19.5" hidden="false" customHeight="true" outlineLevel="0" collapsed="false">
      <c r="A36" s="15" t="s">
        <v>708</v>
      </c>
      <c r="B36" s="15" t="s">
        <v>1117</v>
      </c>
      <c r="C36" s="15" t="s">
        <v>1115</v>
      </c>
      <c r="D36" s="15" t="n">
        <v>0.001152</v>
      </c>
      <c r="E36" s="15" t="n">
        <v>0</v>
      </c>
      <c r="F36" s="16"/>
      <c r="G36" s="16"/>
      <c r="H36" s="17" t="n">
        <f aca="false">IFERROR(F36*G36,0)</f>
        <v>0</v>
      </c>
      <c r="I36" s="17" t="n">
        <f aca="false">IFERROR(H36*D36+E36,0)</f>
        <v>0</v>
      </c>
      <c r="J36" s="18" t="s">
        <v>1081</v>
      </c>
      <c r="K36" s="18" t="s">
        <v>1082</v>
      </c>
    </row>
    <row r="37" customFormat="false" ht="19.5" hidden="false" customHeight="true" outlineLevel="0" collapsed="false">
      <c r="A37" s="20" t="s">
        <v>708</v>
      </c>
      <c r="B37" s="20" t="s">
        <v>1118</v>
      </c>
      <c r="C37" s="20" t="s">
        <v>1115</v>
      </c>
      <c r="D37" s="20" t="n">
        <v>0.000802</v>
      </c>
      <c r="E37" s="20" t="n">
        <v>0</v>
      </c>
      <c r="F37" s="16"/>
      <c r="G37" s="16"/>
      <c r="H37" s="17" t="n">
        <f aca="false">IFERROR(F37*G37,0)</f>
        <v>0</v>
      </c>
      <c r="I37" s="17" t="n">
        <f aca="false">IFERROR(H37*D37+E37,0)</f>
        <v>0</v>
      </c>
      <c r="J37" s="21" t="s">
        <v>1081</v>
      </c>
      <c r="K37" s="21" t="s">
        <v>1082</v>
      </c>
    </row>
    <row r="38" customFormat="false" ht="19.5" hidden="false" customHeight="true" outlineLevel="0" collapsed="false">
      <c r="A38" s="15" t="s">
        <v>708</v>
      </c>
      <c r="B38" s="15" t="s">
        <v>1119</v>
      </c>
      <c r="C38" s="15" t="s">
        <v>1115</v>
      </c>
      <c r="D38" s="15" t="n">
        <v>0.001</v>
      </c>
      <c r="E38" s="15" t="n">
        <v>0</v>
      </c>
      <c r="F38" s="16"/>
      <c r="G38" s="16"/>
      <c r="H38" s="17" t="n">
        <f aca="false">IFERROR(F38*G38,0)</f>
        <v>0</v>
      </c>
      <c r="I38" s="17" t="n">
        <f aca="false">IFERROR(H38*D38+E38,0)</f>
        <v>0</v>
      </c>
      <c r="J38" s="18" t="s">
        <v>1081</v>
      </c>
      <c r="K38" s="18" t="s">
        <v>1082</v>
      </c>
    </row>
    <row r="39" customFormat="false" ht="18" hidden="false" customHeight="true" outlineLevel="0" collapsed="false">
      <c r="A39" s="14" t="s">
        <v>1120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customFormat="false" ht="19.5" hidden="false" customHeight="true" outlineLevel="0" collapsed="false">
      <c r="A40" s="15" t="s">
        <v>1121</v>
      </c>
      <c r="B40" s="15" t="s">
        <v>1122</v>
      </c>
      <c r="C40" s="15" t="s">
        <v>1123</v>
      </c>
      <c r="D40" s="15" t="n">
        <v>5E-005</v>
      </c>
      <c r="E40" s="15" t="n">
        <v>0</v>
      </c>
      <c r="F40" s="16"/>
      <c r="G40" s="16"/>
      <c r="H40" s="17" t="n">
        <f aca="false">IFERROR(F40*G40,0)</f>
        <v>0</v>
      </c>
      <c r="I40" s="17" t="n">
        <f aca="false">IFERROR(H40*D40+E40,0)</f>
        <v>0</v>
      </c>
      <c r="J40" s="18" t="s">
        <v>1081</v>
      </c>
      <c r="K40" s="18" t="s">
        <v>1082</v>
      </c>
    </row>
    <row r="41" customFormat="false" ht="19.5" hidden="false" customHeight="true" outlineLevel="0" collapsed="false">
      <c r="A41" s="20" t="s">
        <v>1121</v>
      </c>
      <c r="B41" s="20" t="s">
        <v>1124</v>
      </c>
      <c r="C41" s="20" t="s">
        <v>1123</v>
      </c>
      <c r="D41" s="20" t="n">
        <v>2.5E-005</v>
      </c>
      <c r="E41" s="20" t="n">
        <v>0</v>
      </c>
      <c r="F41" s="16"/>
      <c r="G41" s="16"/>
      <c r="H41" s="17" t="n">
        <f aca="false">IFERROR(F41*G41,0)</f>
        <v>0</v>
      </c>
      <c r="I41" s="17" t="n">
        <f aca="false">IFERROR(H41*D41+E41,0)</f>
        <v>0</v>
      </c>
      <c r="J41" s="21" t="s">
        <v>1081</v>
      </c>
      <c r="K41" s="21" t="s">
        <v>1082</v>
      </c>
    </row>
    <row r="42" customFormat="false" ht="19.5" hidden="false" customHeight="true" outlineLevel="0" collapsed="false">
      <c r="A42" s="15" t="s">
        <v>1121</v>
      </c>
      <c r="B42" s="15" t="s">
        <v>1125</v>
      </c>
      <c r="C42" s="15" t="s">
        <v>1123</v>
      </c>
      <c r="D42" s="15" t="n">
        <v>2E-005</v>
      </c>
      <c r="E42" s="15" t="n">
        <v>0</v>
      </c>
      <c r="F42" s="16"/>
      <c r="G42" s="16"/>
      <c r="H42" s="17" t="n">
        <f aca="false">IFERROR(F42*G42,0)</f>
        <v>0</v>
      </c>
      <c r="I42" s="17" t="n">
        <f aca="false">IFERROR(H42*D42+E42,0)</f>
        <v>0</v>
      </c>
      <c r="J42" s="18" t="s">
        <v>1081</v>
      </c>
      <c r="K42" s="18" t="s">
        <v>1082</v>
      </c>
    </row>
    <row r="43" customFormat="false" ht="18" hidden="false" customHeight="true" outlineLevel="0" collapsed="false">
      <c r="A43" s="14" t="s">
        <v>1126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customFormat="false" ht="19.5" hidden="false" customHeight="true" outlineLevel="0" collapsed="false">
      <c r="A44" s="15" t="s">
        <v>1127</v>
      </c>
      <c r="B44" s="15" t="s">
        <v>1128</v>
      </c>
      <c r="C44" s="15" t="s">
        <v>1115</v>
      </c>
      <c r="D44" s="15" t="n">
        <v>0.001152</v>
      </c>
      <c r="E44" s="15" t="n">
        <v>0</v>
      </c>
      <c r="F44" s="16"/>
      <c r="G44" s="16"/>
      <c r="H44" s="17" t="n">
        <f aca="false">IFERROR(F44*G44,0)</f>
        <v>0</v>
      </c>
      <c r="I44" s="17" t="n">
        <f aca="false">IFERROR(H44*D44+E44,0)</f>
        <v>0</v>
      </c>
      <c r="J44" s="18" t="s">
        <v>1081</v>
      </c>
      <c r="K44" s="18" t="s">
        <v>1082</v>
      </c>
    </row>
    <row r="45" customFormat="false" ht="19.5" hidden="false" customHeight="true" outlineLevel="0" collapsed="false">
      <c r="A45" s="20" t="s">
        <v>1127</v>
      </c>
      <c r="B45" s="20" t="s">
        <v>1129</v>
      </c>
      <c r="C45" s="20" t="s">
        <v>1115</v>
      </c>
      <c r="D45" s="20" t="n">
        <v>0.0011</v>
      </c>
      <c r="E45" s="20" t="n">
        <v>0</v>
      </c>
      <c r="F45" s="16"/>
      <c r="G45" s="16"/>
      <c r="H45" s="17" t="n">
        <f aca="false">IFERROR(F45*G45,0)</f>
        <v>0</v>
      </c>
      <c r="I45" s="17" t="n">
        <f aca="false">IFERROR(H45*D45+E45,0)</f>
        <v>0</v>
      </c>
      <c r="J45" s="21" t="s">
        <v>1081</v>
      </c>
      <c r="K45" s="21" t="s">
        <v>1082</v>
      </c>
    </row>
    <row r="46" customFormat="false" ht="18" hidden="false" customHeight="true" outlineLevel="0" collapsed="false">
      <c r="A46" s="23" t="s">
        <v>430</v>
      </c>
      <c r="B46" s="23"/>
      <c r="C46" s="23"/>
      <c r="D46" s="23"/>
      <c r="E46" s="23"/>
      <c r="F46" s="23"/>
      <c r="G46" s="23"/>
      <c r="H46" s="23"/>
      <c r="I46" s="24" t="n">
        <f aca="false">SUM(I6:I45)</f>
        <v>2.5</v>
      </c>
      <c r="J46" s="23"/>
      <c r="K46" s="23"/>
    </row>
    <row r="47" customFormat="false" ht="15.75" hidden="false" customHeight="true" outlineLevel="0" collapsed="false"/>
    <row r="48" customFormat="false" ht="15.75" hidden="false" customHeight="true" outlineLevel="0" collapsed="false">
      <c r="A48" s="25" t="s">
        <v>1130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A1:N1"/>
    <mergeCell ref="A2:N2"/>
    <mergeCell ref="A3:N3"/>
    <mergeCell ref="A6:K6"/>
    <mergeCell ref="A18:K18"/>
    <mergeCell ref="A24:K24"/>
    <mergeCell ref="A33:K33"/>
    <mergeCell ref="A39:K39"/>
    <mergeCell ref="A43:K43"/>
    <mergeCell ref="A48:K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36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10" min="6" style="1" width="14"/>
    <col collapsed="false" customWidth="true" hidden="false" outlineLevel="0" max="26" min="11" style="1" width="8.71"/>
  </cols>
  <sheetData>
    <row r="1" customFormat="false" ht="27.75" hidden="false" customHeight="true" outlineLevel="0" collapsed="false">
      <c r="A1" s="10" t="s">
        <v>1131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30" hidden="false" customHeight="true" outlineLevel="0" collapsed="false">
      <c r="A2" s="38" t="s">
        <v>1132</v>
      </c>
      <c r="B2" s="38"/>
      <c r="C2" s="38"/>
      <c r="D2" s="38"/>
      <c r="E2" s="38"/>
      <c r="F2" s="38"/>
      <c r="G2" s="38"/>
      <c r="H2" s="38"/>
      <c r="I2" s="38"/>
      <c r="J2" s="38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1133</v>
      </c>
      <c r="B5" s="13" t="s">
        <v>1134</v>
      </c>
      <c r="C5" s="13" t="s">
        <v>1135</v>
      </c>
      <c r="D5" s="13" t="s">
        <v>1136</v>
      </c>
      <c r="E5" s="13" t="s">
        <v>1137</v>
      </c>
      <c r="F5" s="13" t="s">
        <v>1138</v>
      </c>
      <c r="G5" s="13" t="s">
        <v>440</v>
      </c>
      <c r="H5" s="13" t="s">
        <v>97</v>
      </c>
      <c r="I5" s="13" t="s">
        <v>98</v>
      </c>
    </row>
    <row r="6" customFormat="false" ht="18" hidden="false" customHeight="true" outlineLevel="0" collapsed="false">
      <c r="A6" s="14" t="s">
        <v>1139</v>
      </c>
      <c r="B6" s="14"/>
      <c r="C6" s="14"/>
      <c r="D6" s="14"/>
      <c r="E6" s="14"/>
      <c r="F6" s="14"/>
      <c r="G6" s="14"/>
      <c r="H6" s="14"/>
      <c r="I6" s="14"/>
    </row>
    <row r="7" customFormat="false" ht="19.5" hidden="false" customHeight="true" outlineLevel="0" collapsed="false">
      <c r="A7" s="15" t="s">
        <v>100</v>
      </c>
      <c r="B7" s="15" t="s">
        <v>1140</v>
      </c>
      <c r="C7" s="15" t="s">
        <v>1141</v>
      </c>
      <c r="D7" s="15" t="n">
        <v>0.38</v>
      </c>
      <c r="E7" s="15" t="n">
        <v>92</v>
      </c>
      <c r="F7" s="16"/>
      <c r="G7" s="17" t="n">
        <f aca="false">IFERROR(F7*D7,0)</f>
        <v>0</v>
      </c>
      <c r="H7" s="18" t="s">
        <v>1142</v>
      </c>
      <c r="I7" s="19" t="s">
        <v>1143</v>
      </c>
    </row>
    <row r="8" customFormat="false" ht="19.5" hidden="false" customHeight="true" outlineLevel="0" collapsed="false">
      <c r="A8" s="20" t="s">
        <v>100</v>
      </c>
      <c r="B8" s="20" t="s">
        <v>1144</v>
      </c>
      <c r="C8" s="20" t="s">
        <v>1145</v>
      </c>
      <c r="D8" s="20" t="n">
        <v>0.52</v>
      </c>
      <c r="E8" s="20" t="n">
        <v>95</v>
      </c>
      <c r="F8" s="16"/>
      <c r="G8" s="17" t="n">
        <f aca="false">IFERROR(F8*D8,0)</f>
        <v>0</v>
      </c>
      <c r="H8" s="21" t="s">
        <v>1142</v>
      </c>
      <c r="I8" s="22" t="s">
        <v>1143</v>
      </c>
    </row>
    <row r="9" customFormat="false" ht="19.5" hidden="false" customHeight="true" outlineLevel="0" collapsed="false">
      <c r="A9" s="15" t="s">
        <v>100</v>
      </c>
      <c r="B9" s="15" t="s">
        <v>1146</v>
      </c>
      <c r="C9" s="15" t="s">
        <v>1147</v>
      </c>
      <c r="D9" s="15" t="n">
        <v>0.28</v>
      </c>
      <c r="E9" s="15" t="n">
        <v>96</v>
      </c>
      <c r="F9" s="16"/>
      <c r="G9" s="17" t="n">
        <f aca="false">IFERROR(F9*D9,0)</f>
        <v>0</v>
      </c>
      <c r="H9" s="18" t="s">
        <v>1142</v>
      </c>
      <c r="I9" s="19" t="s">
        <v>1143</v>
      </c>
    </row>
    <row r="10" customFormat="false" ht="19.5" hidden="false" customHeight="true" outlineLevel="0" collapsed="false">
      <c r="A10" s="20" t="s">
        <v>100</v>
      </c>
      <c r="B10" s="20" t="s">
        <v>1148</v>
      </c>
      <c r="C10" s="20" t="s">
        <v>1149</v>
      </c>
      <c r="D10" s="20" t="n">
        <v>0.65</v>
      </c>
      <c r="E10" s="20" t="n">
        <v>85</v>
      </c>
      <c r="F10" s="16"/>
      <c r="G10" s="17" t="n">
        <f aca="false">IFERROR(F10*D10,0)</f>
        <v>0</v>
      </c>
      <c r="H10" s="21" t="s">
        <v>1142</v>
      </c>
      <c r="I10" s="22" t="s">
        <v>1143</v>
      </c>
    </row>
    <row r="11" customFormat="false" ht="19.5" hidden="false" customHeight="true" outlineLevel="0" collapsed="false">
      <c r="A11" s="15" t="s">
        <v>100</v>
      </c>
      <c r="B11" s="15" t="s">
        <v>1150</v>
      </c>
      <c r="C11" s="15" t="s">
        <v>1151</v>
      </c>
      <c r="D11" s="15" t="n">
        <v>0.42</v>
      </c>
      <c r="E11" s="15" t="n">
        <v>94</v>
      </c>
      <c r="F11" s="16"/>
      <c r="G11" s="17" t="n">
        <f aca="false">IFERROR(F11*D11,0)</f>
        <v>0</v>
      </c>
      <c r="H11" s="18" t="s">
        <v>1142</v>
      </c>
      <c r="I11" s="19" t="s">
        <v>1143</v>
      </c>
    </row>
    <row r="12" customFormat="false" ht="19.5" hidden="false" customHeight="true" outlineLevel="0" collapsed="false">
      <c r="A12" s="20" t="s">
        <v>100</v>
      </c>
      <c r="B12" s="20" t="s">
        <v>1152</v>
      </c>
      <c r="C12" s="20" t="s">
        <v>1153</v>
      </c>
      <c r="D12" s="20" t="n">
        <v>0.48</v>
      </c>
      <c r="E12" s="20" t="n">
        <v>92</v>
      </c>
      <c r="F12" s="16"/>
      <c r="G12" s="17" t="n">
        <f aca="false">IFERROR(F12*D12,0)</f>
        <v>0</v>
      </c>
      <c r="H12" s="21" t="s">
        <v>1142</v>
      </c>
      <c r="I12" s="22" t="s">
        <v>1143</v>
      </c>
    </row>
    <row r="13" customFormat="false" ht="19.5" hidden="false" customHeight="true" outlineLevel="0" collapsed="false">
      <c r="A13" s="15" t="s">
        <v>100</v>
      </c>
      <c r="B13" s="15" t="s">
        <v>1152</v>
      </c>
      <c r="C13" s="15" t="s">
        <v>1154</v>
      </c>
      <c r="D13" s="15" t="n">
        <v>0.55</v>
      </c>
      <c r="E13" s="15" t="n">
        <v>90</v>
      </c>
      <c r="F13" s="16"/>
      <c r="G13" s="17" t="n">
        <f aca="false">IFERROR(F13*D13,0)</f>
        <v>0</v>
      </c>
      <c r="H13" s="18" t="s">
        <v>1142</v>
      </c>
      <c r="I13" s="19" t="s">
        <v>1143</v>
      </c>
    </row>
    <row r="14" customFormat="false" ht="19.5" hidden="false" customHeight="true" outlineLevel="0" collapsed="false">
      <c r="A14" s="20" t="s">
        <v>100</v>
      </c>
      <c r="B14" s="20" t="s">
        <v>1155</v>
      </c>
      <c r="C14" s="20" t="s">
        <v>1156</v>
      </c>
      <c r="D14" s="20" t="n">
        <v>0.12</v>
      </c>
      <c r="E14" s="20" t="n">
        <v>97</v>
      </c>
      <c r="F14" s="16"/>
      <c r="G14" s="17" t="n">
        <f aca="false">IFERROR(F14*D14,0)</f>
        <v>0</v>
      </c>
      <c r="H14" s="21" t="s">
        <v>1142</v>
      </c>
      <c r="I14" s="22" t="s">
        <v>1143</v>
      </c>
    </row>
    <row r="15" customFormat="false" ht="19.5" hidden="false" customHeight="true" outlineLevel="0" collapsed="false">
      <c r="A15" s="15" t="s">
        <v>100</v>
      </c>
      <c r="B15" s="15" t="s">
        <v>1155</v>
      </c>
      <c r="C15" s="15" t="s">
        <v>1157</v>
      </c>
      <c r="D15" s="15" t="n">
        <v>0.38</v>
      </c>
      <c r="E15" s="15" t="n">
        <v>94</v>
      </c>
      <c r="F15" s="16"/>
      <c r="G15" s="17" t="n">
        <f aca="false">IFERROR(F15*D15,0)</f>
        <v>0</v>
      </c>
      <c r="H15" s="18" t="s">
        <v>1142</v>
      </c>
      <c r="I15" s="19" t="s">
        <v>1143</v>
      </c>
    </row>
    <row r="16" customFormat="false" ht="19.5" hidden="false" customHeight="true" outlineLevel="0" collapsed="false">
      <c r="A16" s="20" t="s">
        <v>100</v>
      </c>
      <c r="B16" s="20" t="s">
        <v>1158</v>
      </c>
      <c r="C16" s="20" t="s">
        <v>1159</v>
      </c>
      <c r="D16" s="20" t="n">
        <v>0.28</v>
      </c>
      <c r="E16" s="20" t="n">
        <v>98</v>
      </c>
      <c r="F16" s="16"/>
      <c r="G16" s="17" t="n">
        <f aca="false">IFERROR(F16*D16,0)</f>
        <v>0</v>
      </c>
      <c r="H16" s="21" t="s">
        <v>1142</v>
      </c>
      <c r="I16" s="22" t="s">
        <v>1143</v>
      </c>
    </row>
    <row r="17" customFormat="false" ht="18" hidden="false" customHeight="true" outlineLevel="0" collapsed="false">
      <c r="A17" s="14" t="s">
        <v>1160</v>
      </c>
      <c r="B17" s="14"/>
      <c r="C17" s="14"/>
      <c r="D17" s="14"/>
      <c r="E17" s="14"/>
      <c r="F17" s="14"/>
      <c r="G17" s="14"/>
      <c r="H17" s="14"/>
      <c r="I17" s="14"/>
    </row>
    <row r="18" customFormat="false" ht="19.5" hidden="false" customHeight="true" outlineLevel="0" collapsed="false">
      <c r="A18" s="15" t="s">
        <v>139</v>
      </c>
      <c r="B18" s="15" t="s">
        <v>1161</v>
      </c>
      <c r="C18" s="15" t="s">
        <v>1162</v>
      </c>
      <c r="D18" s="15" t="n">
        <v>0.95</v>
      </c>
      <c r="E18" s="15" t="n">
        <v>88</v>
      </c>
      <c r="F18" s="16"/>
      <c r="G18" s="17" t="n">
        <f aca="false">IFERROR(F18*D18,0)</f>
        <v>0</v>
      </c>
      <c r="H18" s="18" t="s">
        <v>1142</v>
      </c>
      <c r="I18" s="19" t="s">
        <v>1143</v>
      </c>
    </row>
    <row r="19" customFormat="false" ht="19.5" hidden="false" customHeight="true" outlineLevel="0" collapsed="false">
      <c r="A19" s="20" t="s">
        <v>139</v>
      </c>
      <c r="B19" s="20" t="s">
        <v>1161</v>
      </c>
      <c r="C19" s="20" t="s">
        <v>1163</v>
      </c>
      <c r="D19" s="20" t="n">
        <v>0.45</v>
      </c>
      <c r="E19" s="20" t="n">
        <v>97</v>
      </c>
      <c r="F19" s="16"/>
      <c r="G19" s="17" t="n">
        <f aca="false">IFERROR(F19*D19,0)</f>
        <v>0</v>
      </c>
      <c r="H19" s="21" t="s">
        <v>1142</v>
      </c>
      <c r="I19" s="22" t="s">
        <v>1143</v>
      </c>
    </row>
    <row r="20" customFormat="false" ht="19.5" hidden="false" customHeight="true" outlineLevel="0" collapsed="false">
      <c r="A20" s="15" t="s">
        <v>139</v>
      </c>
      <c r="B20" s="15" t="s">
        <v>1164</v>
      </c>
      <c r="C20" s="15" t="s">
        <v>1165</v>
      </c>
      <c r="D20" s="15" t="n">
        <v>0.62</v>
      </c>
      <c r="E20" s="15" t="n">
        <v>90</v>
      </c>
      <c r="F20" s="16"/>
      <c r="G20" s="17" t="n">
        <f aca="false">IFERROR(F20*D20,0)</f>
        <v>0</v>
      </c>
      <c r="H20" s="18" t="s">
        <v>1142</v>
      </c>
      <c r="I20" s="19" t="s">
        <v>1143</v>
      </c>
    </row>
    <row r="21" customFormat="false" ht="19.5" hidden="false" customHeight="true" outlineLevel="0" collapsed="false">
      <c r="A21" s="20" t="s">
        <v>139</v>
      </c>
      <c r="B21" s="20" t="s">
        <v>1166</v>
      </c>
      <c r="C21" s="20" t="s">
        <v>1167</v>
      </c>
      <c r="D21" s="20" t="n">
        <v>0.28</v>
      </c>
      <c r="E21" s="20" t="n">
        <v>95</v>
      </c>
      <c r="F21" s="16"/>
      <c r="G21" s="17" t="n">
        <f aca="false">IFERROR(F21*D21,0)</f>
        <v>0</v>
      </c>
      <c r="H21" s="21" t="s">
        <v>1142</v>
      </c>
      <c r="I21" s="22" t="s">
        <v>1143</v>
      </c>
    </row>
    <row r="22" customFormat="false" ht="19.5" hidden="false" customHeight="true" outlineLevel="0" collapsed="false">
      <c r="A22" s="15" t="s">
        <v>139</v>
      </c>
      <c r="B22" s="15" t="s">
        <v>1168</v>
      </c>
      <c r="C22" s="15" t="s">
        <v>1169</v>
      </c>
      <c r="D22" s="15" t="n">
        <v>0.25</v>
      </c>
      <c r="E22" s="15" t="n">
        <v>96</v>
      </c>
      <c r="F22" s="16"/>
      <c r="G22" s="17" t="n">
        <f aca="false">IFERROR(F22*D22,0)</f>
        <v>0</v>
      </c>
      <c r="H22" s="18" t="s">
        <v>1142</v>
      </c>
      <c r="I22" s="19" t="s">
        <v>1143</v>
      </c>
    </row>
    <row r="23" customFormat="false" ht="19.5" hidden="false" customHeight="true" outlineLevel="0" collapsed="false">
      <c r="A23" s="20" t="s">
        <v>139</v>
      </c>
      <c r="B23" s="20" t="s">
        <v>1168</v>
      </c>
      <c r="C23" s="20" t="s">
        <v>1170</v>
      </c>
      <c r="D23" s="20" t="n">
        <v>0.22</v>
      </c>
      <c r="E23" s="20" t="n">
        <v>97</v>
      </c>
      <c r="F23" s="16"/>
      <c r="G23" s="17" t="n">
        <f aca="false">IFERROR(F23*D23,0)</f>
        <v>0</v>
      </c>
      <c r="H23" s="21" t="s">
        <v>1142</v>
      </c>
      <c r="I23" s="22" t="s">
        <v>1143</v>
      </c>
    </row>
    <row r="24" customFormat="false" ht="19.5" hidden="false" customHeight="true" outlineLevel="0" collapsed="false">
      <c r="A24" s="15" t="s">
        <v>139</v>
      </c>
      <c r="B24" s="15" t="s">
        <v>1168</v>
      </c>
      <c r="C24" s="15" t="s">
        <v>1171</v>
      </c>
      <c r="D24" s="15" t="n">
        <v>0.3</v>
      </c>
      <c r="E24" s="15" t="n">
        <v>94</v>
      </c>
      <c r="F24" s="16"/>
      <c r="G24" s="17" t="n">
        <f aca="false">IFERROR(F24*D24,0)</f>
        <v>0</v>
      </c>
      <c r="H24" s="18" t="s">
        <v>1142</v>
      </c>
      <c r="I24" s="19" t="s">
        <v>1143</v>
      </c>
    </row>
    <row r="25" customFormat="false" ht="19.5" hidden="false" customHeight="true" outlineLevel="0" collapsed="false">
      <c r="A25" s="20" t="s">
        <v>139</v>
      </c>
      <c r="B25" s="20" t="s">
        <v>1172</v>
      </c>
      <c r="C25" s="20" t="s">
        <v>1173</v>
      </c>
      <c r="D25" s="20" t="n">
        <v>0.72</v>
      </c>
      <c r="E25" s="20" t="n">
        <v>90</v>
      </c>
      <c r="F25" s="16"/>
      <c r="G25" s="17" t="n">
        <f aca="false">IFERROR(F25*D25,0)</f>
        <v>0</v>
      </c>
      <c r="H25" s="21" t="s">
        <v>1142</v>
      </c>
      <c r="I25" s="22" t="s">
        <v>1143</v>
      </c>
    </row>
    <row r="26" customFormat="false" ht="18" hidden="false" customHeight="true" outlineLevel="0" collapsed="false">
      <c r="A26" s="14" t="s">
        <v>1174</v>
      </c>
      <c r="B26" s="14"/>
      <c r="C26" s="14"/>
      <c r="D26" s="14"/>
      <c r="E26" s="14"/>
      <c r="F26" s="14"/>
      <c r="G26" s="14"/>
      <c r="H26" s="14"/>
      <c r="I26" s="14"/>
    </row>
    <row r="27" customFormat="false" ht="19.5" hidden="false" customHeight="true" outlineLevel="0" collapsed="false">
      <c r="A27" s="15" t="s">
        <v>1175</v>
      </c>
      <c r="B27" s="15" t="s">
        <v>1176</v>
      </c>
      <c r="C27" s="15" t="s">
        <v>1177</v>
      </c>
      <c r="D27" s="15" t="n">
        <v>0.42</v>
      </c>
      <c r="E27" s="15" t="n">
        <v>88</v>
      </c>
      <c r="F27" s="16"/>
      <c r="G27" s="17" t="n">
        <f aca="false">IFERROR(F27*D27,0)</f>
        <v>0</v>
      </c>
      <c r="H27" s="18" t="s">
        <v>1142</v>
      </c>
      <c r="I27" s="19" t="s">
        <v>1143</v>
      </c>
    </row>
    <row r="28" customFormat="false" ht="19.5" hidden="false" customHeight="true" outlineLevel="0" collapsed="false">
      <c r="A28" s="20" t="s">
        <v>1175</v>
      </c>
      <c r="B28" s="20" t="s">
        <v>1178</v>
      </c>
      <c r="C28" s="20" t="s">
        <v>1179</v>
      </c>
      <c r="D28" s="20" t="n">
        <v>0.55</v>
      </c>
      <c r="E28" s="20" t="n">
        <v>85</v>
      </c>
      <c r="F28" s="16"/>
      <c r="G28" s="17" t="n">
        <f aca="false">IFERROR(F28*D28,0)</f>
        <v>0</v>
      </c>
      <c r="H28" s="21" t="s">
        <v>1142</v>
      </c>
      <c r="I28" s="22" t="s">
        <v>1143</v>
      </c>
    </row>
    <row r="29" customFormat="false" ht="19.5" hidden="false" customHeight="true" outlineLevel="0" collapsed="false">
      <c r="A29" s="15" t="s">
        <v>1175</v>
      </c>
      <c r="B29" s="15" t="s">
        <v>1180</v>
      </c>
      <c r="C29" s="15" t="s">
        <v>1181</v>
      </c>
      <c r="D29" s="15" t="n">
        <v>0.18</v>
      </c>
      <c r="E29" s="15" t="n">
        <v>97</v>
      </c>
      <c r="F29" s="16"/>
      <c r="G29" s="17" t="n">
        <f aca="false">IFERROR(F29*D29,0)</f>
        <v>0</v>
      </c>
      <c r="H29" s="18" t="s">
        <v>1142</v>
      </c>
      <c r="I29" s="19" t="s">
        <v>1143</v>
      </c>
    </row>
    <row r="30" customFormat="false" ht="19.5" hidden="false" customHeight="true" outlineLevel="0" collapsed="false">
      <c r="A30" s="20" t="s">
        <v>1175</v>
      </c>
      <c r="B30" s="20" t="s">
        <v>1182</v>
      </c>
      <c r="C30" s="20" t="s">
        <v>1183</v>
      </c>
      <c r="D30" s="20" t="n">
        <v>0.22</v>
      </c>
      <c r="E30" s="20" t="n">
        <v>96</v>
      </c>
      <c r="F30" s="16"/>
      <c r="G30" s="17" t="n">
        <f aca="false">IFERROR(F30*D30,0)</f>
        <v>0</v>
      </c>
      <c r="H30" s="21" t="s">
        <v>1142</v>
      </c>
      <c r="I30" s="22" t="s">
        <v>1143</v>
      </c>
    </row>
    <row r="31" customFormat="false" ht="19.5" hidden="false" customHeight="true" outlineLevel="0" collapsed="false">
      <c r="A31" s="15" t="s">
        <v>1175</v>
      </c>
      <c r="B31" s="15" t="s">
        <v>1184</v>
      </c>
      <c r="C31" s="15" t="s">
        <v>1185</v>
      </c>
      <c r="D31" s="15" t="n">
        <v>0.35</v>
      </c>
      <c r="E31" s="15" t="n">
        <v>93</v>
      </c>
      <c r="F31" s="16"/>
      <c r="G31" s="17" t="n">
        <f aca="false">IFERROR(F31*D31,0)</f>
        <v>0</v>
      </c>
      <c r="H31" s="18" t="s">
        <v>1142</v>
      </c>
      <c r="I31" s="19" t="s">
        <v>1143</v>
      </c>
    </row>
    <row r="32" customFormat="false" ht="18" hidden="false" customHeight="true" outlineLevel="0" collapsed="false">
      <c r="A32" s="14" t="s">
        <v>1186</v>
      </c>
      <c r="B32" s="14"/>
      <c r="C32" s="14"/>
      <c r="D32" s="14"/>
      <c r="E32" s="14"/>
      <c r="F32" s="14"/>
      <c r="G32" s="14"/>
      <c r="H32" s="14"/>
      <c r="I32" s="14"/>
    </row>
    <row r="33" customFormat="false" ht="19.5" hidden="false" customHeight="true" outlineLevel="0" collapsed="false">
      <c r="A33" s="15" t="s">
        <v>188</v>
      </c>
      <c r="B33" s="15" t="s">
        <v>1187</v>
      </c>
      <c r="C33" s="15" t="s">
        <v>1188</v>
      </c>
      <c r="D33" s="15" t="n">
        <v>0.85</v>
      </c>
      <c r="E33" s="15" t="n">
        <v>88</v>
      </c>
      <c r="F33" s="16"/>
      <c r="G33" s="17" t="n">
        <f aca="false">IFERROR(F33*D33,0)</f>
        <v>0</v>
      </c>
      <c r="H33" s="18" t="s">
        <v>1142</v>
      </c>
      <c r="I33" s="19" t="s">
        <v>1143</v>
      </c>
    </row>
    <row r="34" customFormat="false" ht="19.5" hidden="false" customHeight="true" outlineLevel="0" collapsed="false">
      <c r="A34" s="20" t="s">
        <v>188</v>
      </c>
      <c r="B34" s="20" t="s">
        <v>1187</v>
      </c>
      <c r="C34" s="20" t="s">
        <v>1189</v>
      </c>
      <c r="D34" s="20" t="n">
        <v>1.85</v>
      </c>
      <c r="E34" s="20" t="n">
        <v>82</v>
      </c>
      <c r="F34" s="16"/>
      <c r="G34" s="17" t="n">
        <f aca="false">IFERROR(F34*D34,0)</f>
        <v>0</v>
      </c>
      <c r="H34" s="21" t="s">
        <v>1142</v>
      </c>
      <c r="I34" s="22" t="s">
        <v>1143</v>
      </c>
    </row>
    <row r="35" customFormat="false" ht="19.5" hidden="false" customHeight="true" outlineLevel="0" collapsed="false">
      <c r="A35" s="15" t="s">
        <v>188</v>
      </c>
      <c r="B35" s="15" t="s">
        <v>1190</v>
      </c>
      <c r="C35" s="15" t="s">
        <v>1191</v>
      </c>
      <c r="D35" s="15" t="n">
        <v>0.55</v>
      </c>
      <c r="E35" s="15" t="n">
        <v>90</v>
      </c>
      <c r="F35" s="16"/>
      <c r="G35" s="17" t="n">
        <f aca="false">IFERROR(F35*D35,0)</f>
        <v>0</v>
      </c>
      <c r="H35" s="18" t="s">
        <v>1142</v>
      </c>
      <c r="I35" s="19" t="s">
        <v>1143</v>
      </c>
    </row>
    <row r="36" customFormat="false" ht="19.5" hidden="false" customHeight="true" outlineLevel="0" collapsed="false">
      <c r="A36" s="20" t="s">
        <v>188</v>
      </c>
      <c r="B36" s="20" t="s">
        <v>1192</v>
      </c>
      <c r="C36" s="20" t="s">
        <v>1193</v>
      </c>
      <c r="D36" s="20" t="n">
        <v>0.65</v>
      </c>
      <c r="E36" s="20" t="n">
        <v>85</v>
      </c>
      <c r="F36" s="16"/>
      <c r="G36" s="17" t="n">
        <f aca="false">IFERROR(F36*D36,0)</f>
        <v>0</v>
      </c>
      <c r="H36" s="21" t="s">
        <v>1142</v>
      </c>
      <c r="I36" s="22" t="s">
        <v>1143</v>
      </c>
    </row>
    <row r="37" customFormat="false" ht="19.5" hidden="false" customHeight="true" outlineLevel="0" collapsed="false">
      <c r="A37" s="15" t="s">
        <v>188</v>
      </c>
      <c r="B37" s="15" t="s">
        <v>1192</v>
      </c>
      <c r="C37" s="15" t="s">
        <v>1194</v>
      </c>
      <c r="D37" s="15" t="n">
        <v>0.5</v>
      </c>
      <c r="E37" s="15" t="n">
        <v>88</v>
      </c>
      <c r="F37" s="16"/>
      <c r="G37" s="17" t="n">
        <f aca="false">IFERROR(F37*D37,0)</f>
        <v>0</v>
      </c>
      <c r="H37" s="18" t="s">
        <v>1142</v>
      </c>
      <c r="I37" s="19" t="s">
        <v>1143</v>
      </c>
    </row>
    <row r="38" customFormat="false" ht="19.5" hidden="false" customHeight="true" outlineLevel="0" collapsed="false">
      <c r="A38" s="20" t="s">
        <v>188</v>
      </c>
      <c r="B38" s="20" t="s">
        <v>1195</v>
      </c>
      <c r="C38" s="20" t="s">
        <v>1196</v>
      </c>
      <c r="D38" s="20" t="n">
        <v>0.3</v>
      </c>
      <c r="E38" s="20" t="n">
        <v>95</v>
      </c>
      <c r="F38" s="16"/>
      <c r="G38" s="17" t="n">
        <f aca="false">IFERROR(F38*D38,0)</f>
        <v>0</v>
      </c>
      <c r="H38" s="21" t="s">
        <v>1142</v>
      </c>
      <c r="I38" s="22" t="s">
        <v>1143</v>
      </c>
    </row>
    <row r="39" customFormat="false" ht="18" hidden="false" customHeight="true" outlineLevel="0" collapsed="false">
      <c r="A39" s="14" t="s">
        <v>1197</v>
      </c>
      <c r="B39" s="14"/>
      <c r="C39" s="14"/>
      <c r="D39" s="14"/>
      <c r="E39" s="14"/>
      <c r="F39" s="14"/>
      <c r="G39" s="14"/>
      <c r="H39" s="14"/>
      <c r="I39" s="14"/>
    </row>
    <row r="40" customFormat="false" ht="19.5" hidden="false" customHeight="true" outlineLevel="0" collapsed="false">
      <c r="A40" s="15" t="s">
        <v>1198</v>
      </c>
      <c r="B40" s="15" t="s">
        <v>302</v>
      </c>
      <c r="C40" s="15" t="s">
        <v>1199</v>
      </c>
      <c r="D40" s="15" t="n">
        <v>0.08</v>
      </c>
      <c r="E40" s="15" t="n">
        <v>92</v>
      </c>
      <c r="F40" s="16"/>
      <c r="G40" s="17" t="n">
        <f aca="false">IFERROR(F40*D40,0)</f>
        <v>0</v>
      </c>
      <c r="H40" s="18" t="s">
        <v>1142</v>
      </c>
      <c r="I40" s="19" t="s">
        <v>1143</v>
      </c>
    </row>
    <row r="41" customFormat="false" ht="19.5" hidden="false" customHeight="true" outlineLevel="0" collapsed="false">
      <c r="A41" s="20" t="s">
        <v>1198</v>
      </c>
      <c r="B41" s="20" t="s">
        <v>1200</v>
      </c>
      <c r="C41" s="20" t="s">
        <v>1201</v>
      </c>
      <c r="D41" s="20" t="n">
        <v>0.12</v>
      </c>
      <c r="E41" s="20" t="n">
        <v>68</v>
      </c>
      <c r="F41" s="16"/>
      <c r="G41" s="17" t="n">
        <f aca="false">IFERROR(F41*D41,0)</f>
        <v>0</v>
      </c>
      <c r="H41" s="21" t="s">
        <v>1142</v>
      </c>
      <c r="I41" s="22" t="s">
        <v>1143</v>
      </c>
    </row>
    <row r="42" customFormat="false" ht="19.5" hidden="false" customHeight="true" outlineLevel="0" collapsed="false">
      <c r="A42" s="15" t="s">
        <v>1198</v>
      </c>
      <c r="B42" s="15" t="s">
        <v>1202</v>
      </c>
      <c r="C42" s="15" t="s">
        <v>1203</v>
      </c>
      <c r="D42" s="15" t="n">
        <v>0.22</v>
      </c>
      <c r="E42" s="15" t="n">
        <v>85</v>
      </c>
      <c r="F42" s="16"/>
      <c r="G42" s="17" t="n">
        <f aca="false">IFERROR(F42*D42,0)</f>
        <v>0</v>
      </c>
      <c r="H42" s="18" t="s">
        <v>1142</v>
      </c>
      <c r="I42" s="19" t="s">
        <v>1143</v>
      </c>
    </row>
    <row r="43" customFormat="false" ht="19.5" hidden="false" customHeight="true" outlineLevel="0" collapsed="false">
      <c r="A43" s="20" t="s">
        <v>1198</v>
      </c>
      <c r="B43" s="20" t="s">
        <v>1204</v>
      </c>
      <c r="C43" s="20" t="s">
        <v>1205</v>
      </c>
      <c r="D43" s="20" t="n">
        <v>0.18</v>
      </c>
      <c r="E43" s="20" t="n">
        <v>40</v>
      </c>
      <c r="F43" s="16"/>
      <c r="G43" s="17" t="n">
        <f aca="false">IFERROR(F43*D43,0)</f>
        <v>0</v>
      </c>
      <c r="H43" s="21" t="s">
        <v>1142</v>
      </c>
      <c r="I43" s="22" t="s">
        <v>1143</v>
      </c>
    </row>
    <row r="44" customFormat="false" ht="19.5" hidden="false" customHeight="true" outlineLevel="0" collapsed="false">
      <c r="A44" s="15" t="s">
        <v>1198</v>
      </c>
      <c r="B44" s="15" t="s">
        <v>1206</v>
      </c>
      <c r="C44" s="15" t="s">
        <v>1207</v>
      </c>
      <c r="D44" s="15" t="n">
        <v>0.2</v>
      </c>
      <c r="E44" s="15" t="n">
        <v>96</v>
      </c>
      <c r="F44" s="16"/>
      <c r="G44" s="17" t="n">
        <f aca="false">IFERROR(F44*D44,0)</f>
        <v>0</v>
      </c>
      <c r="H44" s="18" t="s">
        <v>1142</v>
      </c>
      <c r="I44" s="19" t="s">
        <v>1143</v>
      </c>
    </row>
    <row r="45" customFormat="false" ht="19.5" hidden="false" customHeight="true" outlineLevel="0" collapsed="false">
      <c r="A45" s="20" t="s">
        <v>1198</v>
      </c>
      <c r="B45" s="20" t="s">
        <v>1208</v>
      </c>
      <c r="C45" s="20" t="s">
        <v>1209</v>
      </c>
      <c r="D45" s="20" t="n">
        <v>0.85</v>
      </c>
      <c r="E45" s="20" t="n">
        <v>10</v>
      </c>
      <c r="F45" s="16"/>
      <c r="G45" s="17" t="n">
        <f aca="false">IFERROR(F45*D45,0)</f>
        <v>0</v>
      </c>
      <c r="H45" s="21" t="s">
        <v>1142</v>
      </c>
      <c r="I45" s="22" t="s">
        <v>1143</v>
      </c>
    </row>
    <row r="46" customFormat="false" ht="19.5" hidden="false" customHeight="true" outlineLevel="0" collapsed="false">
      <c r="A46" s="15" t="s">
        <v>1198</v>
      </c>
      <c r="B46" s="15" t="s">
        <v>1210</v>
      </c>
      <c r="C46" s="15" t="s">
        <v>1211</v>
      </c>
      <c r="D46" s="15" t="n">
        <v>0.35</v>
      </c>
      <c r="E46" s="15" t="n">
        <v>55</v>
      </c>
      <c r="F46" s="16"/>
      <c r="G46" s="17" t="n">
        <f aca="false">IFERROR(F46*D46,0)</f>
        <v>0</v>
      </c>
      <c r="H46" s="18" t="s">
        <v>1142</v>
      </c>
      <c r="I46" s="19" t="s">
        <v>1143</v>
      </c>
    </row>
    <row r="47" customFormat="false" ht="19.5" hidden="false" customHeight="true" outlineLevel="0" collapsed="false">
      <c r="A47" s="20" t="s">
        <v>1198</v>
      </c>
      <c r="B47" s="20" t="s">
        <v>1212</v>
      </c>
      <c r="C47" s="20" t="s">
        <v>1213</v>
      </c>
      <c r="D47" s="20" t="n">
        <v>0.42</v>
      </c>
      <c r="E47" s="20" t="n">
        <v>62</v>
      </c>
      <c r="F47" s="16"/>
      <c r="G47" s="17" t="n">
        <f aca="false">IFERROR(F47*D47,0)</f>
        <v>0</v>
      </c>
      <c r="H47" s="21" t="s">
        <v>1142</v>
      </c>
      <c r="I47" s="22" t="s">
        <v>1143</v>
      </c>
    </row>
    <row r="48" customFormat="false" ht="18" hidden="false" customHeight="true" outlineLevel="0" collapsed="false">
      <c r="A48" s="14" t="s">
        <v>1214</v>
      </c>
      <c r="B48" s="14"/>
      <c r="C48" s="14"/>
      <c r="D48" s="14"/>
      <c r="E48" s="14"/>
      <c r="F48" s="14"/>
      <c r="G48" s="14"/>
      <c r="H48" s="14"/>
      <c r="I48" s="14"/>
    </row>
    <row r="49" customFormat="false" ht="19.5" hidden="false" customHeight="true" outlineLevel="0" collapsed="false">
      <c r="A49" s="15" t="s">
        <v>109</v>
      </c>
      <c r="B49" s="15" t="s">
        <v>1215</v>
      </c>
      <c r="C49" s="15" t="s">
        <v>1216</v>
      </c>
      <c r="D49" s="15" t="n">
        <v>0.05</v>
      </c>
      <c r="E49" s="15" t="n">
        <v>98</v>
      </c>
      <c r="F49" s="16"/>
      <c r="G49" s="17" t="n">
        <f aca="false">IFERROR(F49*D49,0)</f>
        <v>0</v>
      </c>
      <c r="H49" s="18" t="s">
        <v>1142</v>
      </c>
      <c r="I49" s="19" t="s">
        <v>1143</v>
      </c>
    </row>
    <row r="50" customFormat="false" ht="19.5" hidden="false" customHeight="true" outlineLevel="0" collapsed="false">
      <c r="A50" s="20" t="s">
        <v>109</v>
      </c>
      <c r="B50" s="20" t="s">
        <v>1217</v>
      </c>
      <c r="C50" s="20" t="s">
        <v>1218</v>
      </c>
      <c r="D50" s="20" t="n">
        <v>0.35</v>
      </c>
      <c r="E50" s="20" t="n">
        <v>94</v>
      </c>
      <c r="F50" s="16"/>
      <c r="G50" s="17" t="n">
        <f aca="false">IFERROR(F50*D50,0)</f>
        <v>0</v>
      </c>
      <c r="H50" s="21" t="s">
        <v>1142</v>
      </c>
      <c r="I50" s="22" t="s">
        <v>1143</v>
      </c>
    </row>
    <row r="51" customFormat="false" ht="19.5" hidden="false" customHeight="true" outlineLevel="0" collapsed="false">
      <c r="A51" s="15" t="s">
        <v>109</v>
      </c>
      <c r="B51" s="15" t="s">
        <v>1219</v>
      </c>
      <c r="C51" s="15" t="s">
        <v>1220</v>
      </c>
      <c r="D51" s="15" t="n">
        <v>1.25</v>
      </c>
      <c r="E51" s="15" t="n">
        <v>56</v>
      </c>
      <c r="F51" s="16"/>
      <c r="G51" s="17" t="n">
        <f aca="false">IFERROR(F51*D51,0)</f>
        <v>0</v>
      </c>
      <c r="H51" s="18" t="s">
        <v>1142</v>
      </c>
      <c r="I51" s="19" t="s">
        <v>1143</v>
      </c>
    </row>
    <row r="52" customFormat="false" ht="19.5" hidden="false" customHeight="true" outlineLevel="0" collapsed="false">
      <c r="A52" s="20" t="s">
        <v>109</v>
      </c>
      <c r="B52" s="20" t="s">
        <v>1221</v>
      </c>
      <c r="C52" s="20" t="s">
        <v>1222</v>
      </c>
      <c r="D52" s="20" t="n">
        <v>0.21</v>
      </c>
      <c r="E52" s="20" t="n">
        <v>92</v>
      </c>
      <c r="F52" s="16"/>
      <c r="G52" s="17" t="n">
        <f aca="false">IFERROR(F52*D52,0)</f>
        <v>0</v>
      </c>
      <c r="H52" s="21" t="s">
        <v>1142</v>
      </c>
      <c r="I52" s="22" t="s">
        <v>1143</v>
      </c>
    </row>
    <row r="53" customFormat="false" ht="19.5" hidden="false" customHeight="true" outlineLevel="0" collapsed="false">
      <c r="A53" s="15" t="s">
        <v>109</v>
      </c>
      <c r="B53" s="15" t="s">
        <v>1223</v>
      </c>
      <c r="C53" s="15" t="s">
        <v>1224</v>
      </c>
      <c r="D53" s="15" t="n">
        <v>0.15</v>
      </c>
      <c r="E53" s="15" t="n">
        <v>55</v>
      </c>
      <c r="F53" s="16"/>
      <c r="G53" s="17" t="n">
        <f aca="false">IFERROR(F53*D53,0)</f>
        <v>0</v>
      </c>
      <c r="H53" s="18" t="s">
        <v>1142</v>
      </c>
      <c r="I53" s="19" t="s">
        <v>1143</v>
      </c>
    </row>
    <row r="54" customFormat="false" ht="19.5" hidden="false" customHeight="true" outlineLevel="0" collapsed="false">
      <c r="A54" s="20" t="s">
        <v>109</v>
      </c>
      <c r="B54" s="20" t="s">
        <v>1225</v>
      </c>
      <c r="C54" s="20" t="s">
        <v>1226</v>
      </c>
      <c r="D54" s="20" t="n">
        <v>0.48</v>
      </c>
      <c r="E54" s="20" t="n">
        <v>82</v>
      </c>
      <c r="F54" s="16"/>
      <c r="G54" s="17" t="n">
        <f aca="false">IFERROR(F54*D54,0)</f>
        <v>0</v>
      </c>
      <c r="H54" s="21" t="s">
        <v>1142</v>
      </c>
      <c r="I54" s="22" t="s">
        <v>1143</v>
      </c>
    </row>
    <row r="55" customFormat="false" ht="18" hidden="false" customHeight="true" outlineLevel="0" collapsed="false">
      <c r="A55" s="23" t="s">
        <v>430</v>
      </c>
      <c r="B55" s="23"/>
      <c r="C55" s="23"/>
      <c r="D55" s="23"/>
      <c r="E55" s="23"/>
      <c r="F55" s="23"/>
      <c r="G55" s="24" t="n">
        <f aca="false">SUM(G6:G54)</f>
        <v>0</v>
      </c>
      <c r="H55" s="23"/>
      <c r="I55" s="23"/>
    </row>
    <row r="56" customFormat="false" ht="15.75" hidden="false" customHeight="true" outlineLevel="0" collapsed="false"/>
    <row r="57" customFormat="false" ht="15.75" hidden="false" customHeight="true" outlineLevel="0" collapsed="false">
      <c r="A57" s="25" t="s">
        <v>1227</v>
      </c>
      <c r="B57" s="25"/>
      <c r="C57" s="25"/>
      <c r="D57" s="25"/>
      <c r="E57" s="25"/>
      <c r="F57" s="25"/>
      <c r="G57" s="25"/>
      <c r="H57" s="25"/>
      <c r="I57" s="25"/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A1:J1"/>
    <mergeCell ref="A2:J2"/>
    <mergeCell ref="A3:J3"/>
    <mergeCell ref="A6:I6"/>
    <mergeCell ref="A17:I17"/>
    <mergeCell ref="A26:I26"/>
    <mergeCell ref="A32:I32"/>
    <mergeCell ref="A39:I39"/>
    <mergeCell ref="A48:I48"/>
    <mergeCell ref="A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7" min="4" style="1" width="16"/>
    <col collapsed="false" customWidth="true" hidden="false" outlineLevel="0" max="9" min="8" style="1" width="12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4" min="12" style="1" width="22"/>
    <col collapsed="false" customWidth="true" hidden="false" outlineLevel="0" max="26" min="15" style="1" width="8.71"/>
  </cols>
  <sheetData>
    <row r="1" customFormat="false" ht="27.75" hidden="false" customHeight="true" outlineLevel="0" collapsed="false">
      <c r="A1" s="10" t="s">
        <v>1228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30" hidden="false" customHeight="true" outlineLevel="0" collapsed="false">
      <c r="A2" s="38" t="s">
        <v>1229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1230</v>
      </c>
      <c r="B5" s="13" t="s">
        <v>1231</v>
      </c>
      <c r="C5" s="13" t="s">
        <v>1232</v>
      </c>
      <c r="D5" s="13" t="s">
        <v>1233</v>
      </c>
      <c r="E5" s="13" t="s">
        <v>1234</v>
      </c>
      <c r="F5" s="13" t="s">
        <v>1235</v>
      </c>
      <c r="G5" s="13" t="s">
        <v>1236</v>
      </c>
      <c r="H5" s="13" t="s">
        <v>1237</v>
      </c>
      <c r="I5" s="13" t="s">
        <v>1238</v>
      </c>
      <c r="J5" s="13" t="s">
        <v>1239</v>
      </c>
      <c r="K5" s="13" t="s">
        <v>1240</v>
      </c>
      <c r="L5" s="13" t="s">
        <v>97</v>
      </c>
      <c r="M5" s="13" t="s">
        <v>98</v>
      </c>
    </row>
    <row r="6" customFormat="false" ht="18" hidden="false" customHeight="true" outlineLevel="0" collapsed="false">
      <c r="A6" s="14" t="s">
        <v>1241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customFormat="false" ht="19.5" hidden="false" customHeight="true" outlineLevel="0" collapsed="false">
      <c r="A7" s="15" t="s">
        <v>1242</v>
      </c>
      <c r="B7" s="15" t="s">
        <v>1243</v>
      </c>
      <c r="C7" s="15" t="s">
        <v>585</v>
      </c>
      <c r="D7" s="15" t="n">
        <v>1000</v>
      </c>
      <c r="E7" s="15" t="s">
        <v>1244</v>
      </c>
      <c r="F7" s="15" t="n">
        <v>1500</v>
      </c>
      <c r="G7" s="15" t="n">
        <v>0.000716</v>
      </c>
      <c r="H7" s="15" t="n">
        <v>10</v>
      </c>
      <c r="I7" s="16"/>
      <c r="J7" s="17" t="n">
        <f aca="false">IFERROR(F7*G7,0)</f>
        <v>1.074</v>
      </c>
      <c r="K7" s="17" t="n">
        <f aca="false">IFERROR(I7*J7*H7,0)</f>
        <v>0</v>
      </c>
      <c r="L7" s="18" t="s">
        <v>1017</v>
      </c>
      <c r="M7" s="18" t="s">
        <v>1245</v>
      </c>
    </row>
    <row r="8" customFormat="false" ht="19.5" hidden="false" customHeight="true" outlineLevel="0" collapsed="false">
      <c r="A8" s="20" t="s">
        <v>1242</v>
      </c>
      <c r="B8" s="20" t="s">
        <v>1246</v>
      </c>
      <c r="C8" s="20" t="s">
        <v>585</v>
      </c>
      <c r="D8" s="20" t="n">
        <v>1500</v>
      </c>
      <c r="E8" s="20" t="s">
        <v>1244</v>
      </c>
      <c r="F8" s="20" t="n">
        <v>2250</v>
      </c>
      <c r="G8" s="20" t="n">
        <v>0.000716</v>
      </c>
      <c r="H8" s="20" t="n">
        <v>10</v>
      </c>
      <c r="I8" s="16"/>
      <c r="J8" s="17" t="n">
        <f aca="false">IFERROR(F8*G8,0)</f>
        <v>1.611</v>
      </c>
      <c r="K8" s="17" t="n">
        <f aca="false">IFERROR(I8*J8*H8,0)</f>
        <v>0</v>
      </c>
      <c r="L8" s="21" t="s">
        <v>1017</v>
      </c>
      <c r="M8" s="21" t="s">
        <v>1245</v>
      </c>
    </row>
    <row r="9" customFormat="false" ht="19.5" hidden="false" customHeight="true" outlineLevel="0" collapsed="false">
      <c r="A9" s="15" t="s">
        <v>1242</v>
      </c>
      <c r="B9" s="15" t="s">
        <v>1247</v>
      </c>
      <c r="C9" s="15" t="s">
        <v>585</v>
      </c>
      <c r="D9" s="15" t="n">
        <v>1700</v>
      </c>
      <c r="E9" s="15" t="s">
        <v>1244</v>
      </c>
      <c r="F9" s="15" t="n">
        <v>2550</v>
      </c>
      <c r="G9" s="15" t="n">
        <v>0.000716</v>
      </c>
      <c r="H9" s="15" t="n">
        <v>10</v>
      </c>
      <c r="I9" s="16"/>
      <c r="J9" s="17" t="n">
        <f aca="false">IFERROR(F9*G9,0)</f>
        <v>1.8258</v>
      </c>
      <c r="K9" s="17" t="n">
        <f aca="false">IFERROR(I9*J9*H9,0)</f>
        <v>0</v>
      </c>
      <c r="L9" s="18" t="s">
        <v>1017</v>
      </c>
      <c r="M9" s="18" t="s">
        <v>1245</v>
      </c>
    </row>
    <row r="10" customFormat="false" ht="19.5" hidden="false" customHeight="true" outlineLevel="0" collapsed="false">
      <c r="A10" s="20" t="s">
        <v>1242</v>
      </c>
      <c r="B10" s="20" t="s">
        <v>1248</v>
      </c>
      <c r="C10" s="20" t="s">
        <v>585</v>
      </c>
      <c r="D10" s="20" t="n">
        <v>2000</v>
      </c>
      <c r="E10" s="20" t="s">
        <v>1244</v>
      </c>
      <c r="F10" s="20" t="n">
        <v>3000</v>
      </c>
      <c r="G10" s="20" t="n">
        <v>0.000716</v>
      </c>
      <c r="H10" s="20" t="n">
        <v>10</v>
      </c>
      <c r="I10" s="16"/>
      <c r="J10" s="17" t="n">
        <f aca="false">IFERROR(F10*G10,0)</f>
        <v>2.148</v>
      </c>
      <c r="K10" s="17" t="n">
        <f aca="false">IFERROR(I10*J10*H10,0)</f>
        <v>0</v>
      </c>
      <c r="L10" s="21" t="s">
        <v>1017</v>
      </c>
      <c r="M10" s="21" t="s">
        <v>1245</v>
      </c>
    </row>
    <row r="11" customFormat="false" ht="19.5" hidden="false" customHeight="true" outlineLevel="0" collapsed="false">
      <c r="A11" s="15" t="s">
        <v>1242</v>
      </c>
      <c r="B11" s="15" t="s">
        <v>1249</v>
      </c>
      <c r="C11" s="15" t="s">
        <v>585</v>
      </c>
      <c r="D11" s="15" t="n">
        <v>37000</v>
      </c>
      <c r="E11" s="15" t="s">
        <v>1250</v>
      </c>
      <c r="F11" s="15" t="n">
        <v>111000</v>
      </c>
      <c r="G11" s="15" t="n">
        <v>0.000716</v>
      </c>
      <c r="H11" s="15" t="n">
        <v>15</v>
      </c>
      <c r="I11" s="16"/>
      <c r="J11" s="17" t="n">
        <f aca="false">IFERROR(F11*G11,0)</f>
        <v>79.476</v>
      </c>
      <c r="K11" s="17" t="n">
        <f aca="false">IFERROR(I11*J11*H11,0)</f>
        <v>0</v>
      </c>
      <c r="L11" s="18" t="s">
        <v>1017</v>
      </c>
      <c r="M11" s="18" t="s">
        <v>1245</v>
      </c>
    </row>
    <row r="12" customFormat="false" ht="19.5" hidden="false" customHeight="true" outlineLevel="0" collapsed="false">
      <c r="A12" s="20" t="s">
        <v>1242</v>
      </c>
      <c r="B12" s="20" t="s">
        <v>1251</v>
      </c>
      <c r="C12" s="20" t="s">
        <v>585</v>
      </c>
      <c r="D12" s="20" t="n">
        <v>75000</v>
      </c>
      <c r="E12" s="20" t="s">
        <v>1252</v>
      </c>
      <c r="F12" s="20" t="n">
        <v>262500</v>
      </c>
      <c r="G12" s="20" t="n">
        <v>0.000716</v>
      </c>
      <c r="H12" s="20" t="n">
        <v>20</v>
      </c>
      <c r="I12" s="16"/>
      <c r="J12" s="17" t="n">
        <f aca="false">IFERROR(F12*G12,0)</f>
        <v>187.95</v>
      </c>
      <c r="K12" s="17" t="n">
        <f aca="false">IFERROR(I12*J12*H12,0)</f>
        <v>0</v>
      </c>
      <c r="L12" s="21" t="s">
        <v>1017</v>
      </c>
      <c r="M12" s="21" t="s">
        <v>1245</v>
      </c>
    </row>
    <row r="13" customFormat="false" ht="19.5" hidden="false" customHeight="true" outlineLevel="0" collapsed="false">
      <c r="A13" s="15" t="s">
        <v>1242</v>
      </c>
      <c r="B13" s="15" t="s">
        <v>1253</v>
      </c>
      <c r="C13" s="15" t="s">
        <v>585</v>
      </c>
      <c r="D13" s="15" t="n">
        <v>200</v>
      </c>
      <c r="E13" s="15" t="s">
        <v>1254</v>
      </c>
      <c r="F13" s="15" t="n">
        <v>175</v>
      </c>
      <c r="G13" s="15" t="n">
        <v>0.000716</v>
      </c>
      <c r="H13" s="15" t="n">
        <v>12</v>
      </c>
      <c r="I13" s="16"/>
      <c r="J13" s="17" t="n">
        <f aca="false">IFERROR(F13*G13,0)</f>
        <v>0.1253</v>
      </c>
      <c r="K13" s="17" t="n">
        <f aca="false">IFERROR(I13*J13*H13,0)</f>
        <v>0</v>
      </c>
      <c r="L13" s="18" t="s">
        <v>1017</v>
      </c>
      <c r="M13" s="18" t="s">
        <v>1245</v>
      </c>
    </row>
    <row r="14" customFormat="false" ht="19.5" hidden="false" customHeight="true" outlineLevel="0" collapsed="false">
      <c r="A14" s="20" t="s">
        <v>1242</v>
      </c>
      <c r="B14" s="20" t="s">
        <v>1255</v>
      </c>
      <c r="C14" s="20" t="s">
        <v>585</v>
      </c>
      <c r="D14" s="20" t="n">
        <v>350</v>
      </c>
      <c r="E14" s="20" t="s">
        <v>1256</v>
      </c>
      <c r="F14" s="20" t="n">
        <v>280</v>
      </c>
      <c r="G14" s="20" t="n">
        <v>0.000716</v>
      </c>
      <c r="H14" s="20" t="n">
        <v>12</v>
      </c>
      <c r="I14" s="16"/>
      <c r="J14" s="17" t="n">
        <f aca="false">IFERROR(F14*G14,0)</f>
        <v>0.20048</v>
      </c>
      <c r="K14" s="17" t="n">
        <f aca="false">IFERROR(I14*J14*H14,0)</f>
        <v>0</v>
      </c>
      <c r="L14" s="21" t="s">
        <v>1017</v>
      </c>
      <c r="M14" s="21" t="s">
        <v>1245</v>
      </c>
    </row>
    <row r="15" customFormat="false" ht="19.5" hidden="false" customHeight="true" outlineLevel="0" collapsed="false">
      <c r="A15" s="15" t="s">
        <v>1242</v>
      </c>
      <c r="B15" s="15" t="s">
        <v>1257</v>
      </c>
      <c r="C15" s="15" t="s">
        <v>585</v>
      </c>
      <c r="D15" s="15" t="n">
        <v>10000</v>
      </c>
      <c r="E15" s="15" t="s">
        <v>1256</v>
      </c>
      <c r="F15" s="15" t="n">
        <v>87600</v>
      </c>
      <c r="G15" s="15" t="n">
        <v>0.000716</v>
      </c>
      <c r="H15" s="15" t="n">
        <v>15</v>
      </c>
      <c r="I15" s="16"/>
      <c r="J15" s="17" t="n">
        <f aca="false">IFERROR(F15*G15,0)</f>
        <v>62.7216</v>
      </c>
      <c r="K15" s="17" t="n">
        <f aca="false">IFERROR(I15*J15*H15,0)</f>
        <v>0</v>
      </c>
      <c r="L15" s="18" t="s">
        <v>1017</v>
      </c>
      <c r="M15" s="18" t="s">
        <v>1245</v>
      </c>
    </row>
    <row r="16" customFormat="false" ht="18" hidden="false" customHeight="true" outlineLevel="0" collapsed="false">
      <c r="A16" s="14" t="s">
        <v>1258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customFormat="false" ht="19.5" hidden="false" customHeight="true" outlineLevel="0" collapsed="false">
      <c r="A17" s="15" t="s">
        <v>1259</v>
      </c>
      <c r="B17" s="15" t="s">
        <v>1260</v>
      </c>
      <c r="C17" s="15" t="s">
        <v>585</v>
      </c>
      <c r="D17" s="15" t="n">
        <v>2000</v>
      </c>
      <c r="E17" s="15" t="s">
        <v>1261</v>
      </c>
      <c r="F17" s="15" t="n">
        <v>730</v>
      </c>
      <c r="G17" s="15" t="n">
        <v>0.000716</v>
      </c>
      <c r="H17" s="15" t="n">
        <v>15</v>
      </c>
      <c r="I17" s="16"/>
      <c r="J17" s="17" t="n">
        <f aca="false">IFERROR(F17*G17,0)</f>
        <v>0.52268</v>
      </c>
      <c r="K17" s="17" t="n">
        <f aca="false">IFERROR(I17*J17*H17,0)</f>
        <v>0</v>
      </c>
      <c r="L17" s="18" t="s">
        <v>1017</v>
      </c>
      <c r="M17" s="18" t="s">
        <v>1245</v>
      </c>
    </row>
    <row r="18" customFormat="false" ht="19.5" hidden="false" customHeight="true" outlineLevel="0" collapsed="false">
      <c r="A18" s="20" t="s">
        <v>1259</v>
      </c>
      <c r="B18" s="20" t="s">
        <v>1262</v>
      </c>
      <c r="C18" s="20" t="s">
        <v>585</v>
      </c>
      <c r="D18" s="20" t="n">
        <v>4500</v>
      </c>
      <c r="E18" s="20" t="s">
        <v>1263</v>
      </c>
      <c r="F18" s="20" t="n">
        <v>450</v>
      </c>
      <c r="G18" s="20" t="n">
        <v>0.000716</v>
      </c>
      <c r="H18" s="20" t="n">
        <v>10</v>
      </c>
      <c r="I18" s="16"/>
      <c r="J18" s="17" t="n">
        <f aca="false">IFERROR(F18*G18,0)</f>
        <v>0.3222</v>
      </c>
      <c r="K18" s="17" t="n">
        <f aca="false">IFERROR(I18*J18*H18,0)</f>
        <v>0</v>
      </c>
      <c r="L18" s="21" t="s">
        <v>1017</v>
      </c>
      <c r="M18" s="21" t="s">
        <v>1245</v>
      </c>
    </row>
    <row r="19" customFormat="false" ht="19.5" hidden="false" customHeight="true" outlineLevel="0" collapsed="false">
      <c r="A19" s="15" t="s">
        <v>1259</v>
      </c>
      <c r="B19" s="15" t="s">
        <v>1264</v>
      </c>
      <c r="C19" s="15" t="s">
        <v>585</v>
      </c>
      <c r="D19" s="15" t="n">
        <v>500</v>
      </c>
      <c r="E19" s="15" t="s">
        <v>1265</v>
      </c>
      <c r="F19" s="15" t="n">
        <v>50</v>
      </c>
      <c r="G19" s="15" t="n">
        <v>0.000716</v>
      </c>
      <c r="H19" s="15" t="n">
        <v>20</v>
      </c>
      <c r="I19" s="16"/>
      <c r="J19" s="17" t="n">
        <f aca="false">IFERROR(F19*G19,0)</f>
        <v>0.0358</v>
      </c>
      <c r="K19" s="17" t="n">
        <f aca="false">IFERROR(I19*J19*H19,0)</f>
        <v>0</v>
      </c>
      <c r="L19" s="18" t="s">
        <v>1017</v>
      </c>
      <c r="M19" s="18" t="s">
        <v>1245</v>
      </c>
    </row>
    <row r="20" customFormat="false" ht="19.5" hidden="false" customHeight="true" outlineLevel="0" collapsed="false">
      <c r="A20" s="20" t="s">
        <v>1259</v>
      </c>
      <c r="B20" s="20" t="s">
        <v>1266</v>
      </c>
      <c r="C20" s="20" t="s">
        <v>1267</v>
      </c>
      <c r="D20" s="20" t="n">
        <v>0</v>
      </c>
      <c r="E20" s="20" t="s">
        <v>1268</v>
      </c>
      <c r="F20" s="20" t="n">
        <v>25000</v>
      </c>
      <c r="G20" s="20" t="n">
        <v>0.00268</v>
      </c>
      <c r="H20" s="20" t="n">
        <v>15</v>
      </c>
      <c r="I20" s="16"/>
      <c r="J20" s="17" t="n">
        <f aca="false">IFERROR(F20*G20,0)</f>
        <v>67</v>
      </c>
      <c r="K20" s="17" t="n">
        <f aca="false">IFERROR(I20*J20*H20,0)</f>
        <v>0</v>
      </c>
      <c r="L20" s="21" t="s">
        <v>1017</v>
      </c>
      <c r="M20" s="21" t="s">
        <v>1245</v>
      </c>
    </row>
    <row r="21" customFormat="false" ht="19.5" hidden="false" customHeight="true" outlineLevel="0" collapsed="false">
      <c r="A21" s="15" t="s">
        <v>1259</v>
      </c>
      <c r="B21" s="15" t="s">
        <v>1269</v>
      </c>
      <c r="C21" s="15" t="s">
        <v>1270</v>
      </c>
      <c r="D21" s="15" t="n">
        <v>0</v>
      </c>
      <c r="E21" s="15" t="s">
        <v>1268</v>
      </c>
      <c r="F21" s="15" t="n">
        <v>8000</v>
      </c>
      <c r="G21" s="15" t="n">
        <v>0.002</v>
      </c>
      <c r="H21" s="15" t="n">
        <v>15</v>
      </c>
      <c r="I21" s="16"/>
      <c r="J21" s="17" t="n">
        <f aca="false">IFERROR(F21*G21,0)</f>
        <v>16</v>
      </c>
      <c r="K21" s="17" t="n">
        <f aca="false">IFERROR(I21*J21*H21,0)</f>
        <v>0</v>
      </c>
      <c r="L21" s="18" t="s">
        <v>1017</v>
      </c>
      <c r="M21" s="18" t="s">
        <v>1245</v>
      </c>
    </row>
    <row r="22" customFormat="false" ht="19.5" hidden="false" customHeight="true" outlineLevel="0" collapsed="false">
      <c r="A22" s="20" t="s">
        <v>1259</v>
      </c>
      <c r="B22" s="20" t="s">
        <v>1271</v>
      </c>
      <c r="C22" s="20" t="s">
        <v>1267</v>
      </c>
      <c r="D22" s="20" t="n">
        <v>0</v>
      </c>
      <c r="E22" s="20" t="s">
        <v>1272</v>
      </c>
      <c r="F22" s="20" t="n">
        <v>1500</v>
      </c>
      <c r="G22" s="20" t="n">
        <v>0.00268</v>
      </c>
      <c r="H22" s="20" t="n">
        <v>12</v>
      </c>
      <c r="I22" s="16"/>
      <c r="J22" s="17" t="n">
        <f aca="false">IFERROR(F22*G22,0)</f>
        <v>4.02</v>
      </c>
      <c r="K22" s="17" t="n">
        <f aca="false">IFERROR(I22*J22*H22,0)</f>
        <v>0</v>
      </c>
      <c r="L22" s="21" t="s">
        <v>1017</v>
      </c>
      <c r="M22" s="21" t="s">
        <v>1245</v>
      </c>
    </row>
    <row r="23" customFormat="false" ht="18" hidden="false" customHeight="true" outlineLevel="0" collapsed="false">
      <c r="A23" s="14" t="s">
        <v>1273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19.5" hidden="false" customHeight="true" outlineLevel="0" collapsed="false">
      <c r="A24" s="15" t="s">
        <v>1274</v>
      </c>
      <c r="B24" s="15" t="s">
        <v>1275</v>
      </c>
      <c r="C24" s="15" t="s">
        <v>585</v>
      </c>
      <c r="D24" s="15" t="n">
        <v>5000</v>
      </c>
      <c r="E24" s="15" t="s">
        <v>1268</v>
      </c>
      <c r="F24" s="15" t="n">
        <v>10000</v>
      </c>
      <c r="G24" s="15" t="n">
        <v>0.000716</v>
      </c>
      <c r="H24" s="15" t="n">
        <v>15</v>
      </c>
      <c r="I24" s="16"/>
      <c r="J24" s="17" t="n">
        <f aca="false">IFERROR(F24*G24,0)</f>
        <v>7.16</v>
      </c>
      <c r="K24" s="17" t="n">
        <f aca="false">IFERROR(I24*J24*H24,0)</f>
        <v>0</v>
      </c>
      <c r="L24" s="18" t="s">
        <v>1017</v>
      </c>
      <c r="M24" s="18" t="s">
        <v>1245</v>
      </c>
    </row>
    <row r="25" customFormat="false" ht="19.5" hidden="false" customHeight="true" outlineLevel="0" collapsed="false">
      <c r="A25" s="20" t="s">
        <v>1274</v>
      </c>
      <c r="B25" s="20" t="s">
        <v>1276</v>
      </c>
      <c r="C25" s="20" t="s">
        <v>585</v>
      </c>
      <c r="D25" s="20" t="n">
        <v>15000</v>
      </c>
      <c r="E25" s="20" t="s">
        <v>1268</v>
      </c>
      <c r="F25" s="20" t="n">
        <v>30000</v>
      </c>
      <c r="G25" s="20" t="n">
        <v>0.000716</v>
      </c>
      <c r="H25" s="20" t="n">
        <v>20</v>
      </c>
      <c r="I25" s="16"/>
      <c r="J25" s="17" t="n">
        <f aca="false">IFERROR(F25*G25,0)</f>
        <v>21.48</v>
      </c>
      <c r="K25" s="17" t="n">
        <f aca="false">IFERROR(I25*J25*H25,0)</f>
        <v>0</v>
      </c>
      <c r="L25" s="21" t="s">
        <v>1017</v>
      </c>
      <c r="M25" s="21" t="s">
        <v>1245</v>
      </c>
    </row>
    <row r="26" customFormat="false" ht="19.5" hidden="false" customHeight="true" outlineLevel="0" collapsed="false">
      <c r="A26" s="15" t="s">
        <v>1274</v>
      </c>
      <c r="B26" s="15" t="s">
        <v>1277</v>
      </c>
      <c r="C26" s="15" t="s">
        <v>585</v>
      </c>
      <c r="D26" s="15" t="n">
        <v>45000</v>
      </c>
      <c r="E26" s="15" t="s">
        <v>1278</v>
      </c>
      <c r="F26" s="15" t="n">
        <v>270000</v>
      </c>
      <c r="G26" s="15" t="n">
        <v>0.000716</v>
      </c>
      <c r="H26" s="15" t="n">
        <v>20</v>
      </c>
      <c r="I26" s="16"/>
      <c r="J26" s="17" t="n">
        <f aca="false">IFERROR(F26*G26,0)</f>
        <v>193.32</v>
      </c>
      <c r="K26" s="17" t="n">
        <f aca="false">IFERROR(I26*J26*H26,0)</f>
        <v>0</v>
      </c>
      <c r="L26" s="18" t="s">
        <v>1017</v>
      </c>
      <c r="M26" s="18" t="s">
        <v>1245</v>
      </c>
    </row>
    <row r="27" customFormat="false" ht="19.5" hidden="false" customHeight="true" outlineLevel="0" collapsed="false">
      <c r="A27" s="20" t="s">
        <v>1274</v>
      </c>
      <c r="B27" s="20" t="s">
        <v>1279</v>
      </c>
      <c r="C27" s="20" t="s">
        <v>585</v>
      </c>
      <c r="D27" s="20" t="n">
        <v>7500</v>
      </c>
      <c r="E27" s="20" t="s">
        <v>1280</v>
      </c>
      <c r="F27" s="20" t="n">
        <v>30000</v>
      </c>
      <c r="G27" s="20" t="n">
        <v>0.000716</v>
      </c>
      <c r="H27" s="20" t="n">
        <v>15</v>
      </c>
      <c r="I27" s="16"/>
      <c r="J27" s="17" t="n">
        <f aca="false">IFERROR(F27*G27,0)</f>
        <v>21.48</v>
      </c>
      <c r="K27" s="17" t="n">
        <f aca="false">IFERROR(I27*J27*H27,0)</f>
        <v>0</v>
      </c>
      <c r="L27" s="21" t="s">
        <v>1017</v>
      </c>
      <c r="M27" s="21" t="s">
        <v>1245</v>
      </c>
    </row>
    <row r="28" customFormat="false" ht="19.5" hidden="false" customHeight="true" outlineLevel="0" collapsed="false">
      <c r="A28" s="15" t="s">
        <v>1274</v>
      </c>
      <c r="B28" s="15" t="s">
        <v>1281</v>
      </c>
      <c r="C28" s="15" t="s">
        <v>585</v>
      </c>
      <c r="D28" s="15" t="n">
        <v>1500</v>
      </c>
      <c r="E28" s="15" t="s">
        <v>1282</v>
      </c>
      <c r="F28" s="15" t="n">
        <v>2190</v>
      </c>
      <c r="G28" s="15" t="n">
        <v>0.000716</v>
      </c>
      <c r="H28" s="15" t="n">
        <v>12</v>
      </c>
      <c r="I28" s="16"/>
      <c r="J28" s="17" t="n">
        <f aca="false">IFERROR(F28*G28,0)</f>
        <v>1.56804</v>
      </c>
      <c r="K28" s="17" t="n">
        <f aca="false">IFERROR(I28*J28*H28,0)</f>
        <v>0</v>
      </c>
      <c r="L28" s="18" t="s">
        <v>1017</v>
      </c>
      <c r="M28" s="18" t="s">
        <v>1245</v>
      </c>
    </row>
    <row r="29" customFormat="false" ht="19.5" hidden="false" customHeight="true" outlineLevel="0" collapsed="false">
      <c r="A29" s="20" t="s">
        <v>1274</v>
      </c>
      <c r="B29" s="20" t="s">
        <v>1283</v>
      </c>
      <c r="C29" s="20" t="s">
        <v>585</v>
      </c>
      <c r="D29" s="20" t="n">
        <v>37000</v>
      </c>
      <c r="E29" s="20" t="s">
        <v>1268</v>
      </c>
      <c r="F29" s="20" t="n">
        <v>74000</v>
      </c>
      <c r="G29" s="20" t="n">
        <v>0.000716</v>
      </c>
      <c r="H29" s="20" t="n">
        <v>12</v>
      </c>
      <c r="I29" s="16"/>
      <c r="J29" s="17" t="n">
        <f aca="false">IFERROR(F29*G29,0)</f>
        <v>52.984</v>
      </c>
      <c r="K29" s="17" t="n">
        <f aca="false">IFERROR(I29*J29*H29,0)</f>
        <v>0</v>
      </c>
      <c r="L29" s="21" t="s">
        <v>1017</v>
      </c>
      <c r="M29" s="21" t="s">
        <v>1245</v>
      </c>
    </row>
    <row r="30" customFormat="false" ht="18" hidden="false" customHeight="true" outlineLevel="0" collapsed="false">
      <c r="A30" s="14" t="s">
        <v>1284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customFormat="false" ht="19.5" hidden="false" customHeight="true" outlineLevel="0" collapsed="false">
      <c r="A31" s="15" t="s">
        <v>1285</v>
      </c>
      <c r="B31" s="15" t="s">
        <v>1286</v>
      </c>
      <c r="C31" s="15" t="s">
        <v>585</v>
      </c>
      <c r="D31" s="15" t="n">
        <v>9</v>
      </c>
      <c r="E31" s="15" t="s">
        <v>1287</v>
      </c>
      <c r="F31" s="15" t="n">
        <v>9</v>
      </c>
      <c r="G31" s="15" t="n">
        <v>0.000716</v>
      </c>
      <c r="H31" s="15" t="n">
        <v>8</v>
      </c>
      <c r="I31" s="16"/>
      <c r="J31" s="17" t="n">
        <f aca="false">IFERROR(F31*G31,0)</f>
        <v>0.006444</v>
      </c>
      <c r="K31" s="17" t="n">
        <f aca="false">IFERROR(I31*J31*H31,0)</f>
        <v>0</v>
      </c>
      <c r="L31" s="18" t="s">
        <v>1017</v>
      </c>
      <c r="M31" s="18" t="s">
        <v>1245</v>
      </c>
    </row>
    <row r="32" customFormat="false" ht="19.5" hidden="false" customHeight="true" outlineLevel="0" collapsed="false">
      <c r="A32" s="20" t="s">
        <v>1285</v>
      </c>
      <c r="B32" s="20" t="s">
        <v>1288</v>
      </c>
      <c r="C32" s="20" t="s">
        <v>585</v>
      </c>
      <c r="D32" s="20" t="n">
        <v>20</v>
      </c>
      <c r="E32" s="20" t="s">
        <v>1289</v>
      </c>
      <c r="F32" s="20" t="n">
        <v>50</v>
      </c>
      <c r="G32" s="20" t="n">
        <v>0.000716</v>
      </c>
      <c r="H32" s="20" t="n">
        <v>8</v>
      </c>
      <c r="I32" s="16"/>
      <c r="J32" s="17" t="n">
        <f aca="false">IFERROR(F32*G32,0)</f>
        <v>0.0358</v>
      </c>
      <c r="K32" s="17" t="n">
        <f aca="false">IFERROR(I32*J32*H32,0)</f>
        <v>0</v>
      </c>
      <c r="L32" s="21" t="s">
        <v>1017</v>
      </c>
      <c r="M32" s="21" t="s">
        <v>1245</v>
      </c>
    </row>
    <row r="33" customFormat="false" ht="19.5" hidden="false" customHeight="true" outlineLevel="0" collapsed="false">
      <c r="A33" s="15" t="s">
        <v>1285</v>
      </c>
      <c r="B33" s="15" t="s">
        <v>1290</v>
      </c>
      <c r="C33" s="15" t="s">
        <v>585</v>
      </c>
      <c r="D33" s="15" t="n">
        <v>80</v>
      </c>
      <c r="E33" s="15" t="s">
        <v>1291</v>
      </c>
      <c r="F33" s="15" t="n">
        <v>350</v>
      </c>
      <c r="G33" s="15" t="n">
        <v>0.000716</v>
      </c>
      <c r="H33" s="15" t="n">
        <v>10</v>
      </c>
      <c r="I33" s="16"/>
      <c r="J33" s="17" t="n">
        <f aca="false">IFERROR(F33*G33,0)</f>
        <v>0.2506</v>
      </c>
      <c r="K33" s="17" t="n">
        <f aca="false">IFERROR(I33*J33*H33,0)</f>
        <v>0</v>
      </c>
      <c r="L33" s="18" t="s">
        <v>1017</v>
      </c>
      <c r="M33" s="18" t="s">
        <v>1245</v>
      </c>
    </row>
    <row r="34" customFormat="false" ht="19.5" hidden="false" customHeight="true" outlineLevel="0" collapsed="false">
      <c r="A34" s="20" t="s">
        <v>1285</v>
      </c>
      <c r="B34" s="20" t="s">
        <v>1292</v>
      </c>
      <c r="C34" s="20" t="s">
        <v>585</v>
      </c>
      <c r="D34" s="20" t="n">
        <v>150</v>
      </c>
      <c r="E34" s="20" t="s">
        <v>1250</v>
      </c>
      <c r="F34" s="20" t="n">
        <v>450</v>
      </c>
      <c r="G34" s="20" t="n">
        <v>0.000716</v>
      </c>
      <c r="H34" s="20" t="n">
        <v>10</v>
      </c>
      <c r="I34" s="16"/>
      <c r="J34" s="17" t="n">
        <f aca="false">IFERROR(F34*G34,0)</f>
        <v>0.3222</v>
      </c>
      <c r="K34" s="17" t="n">
        <f aca="false">IFERROR(I34*J34*H34,0)</f>
        <v>0</v>
      </c>
      <c r="L34" s="21" t="s">
        <v>1017</v>
      </c>
      <c r="M34" s="21" t="s">
        <v>1245</v>
      </c>
    </row>
    <row r="35" customFormat="false" ht="19.5" hidden="false" customHeight="true" outlineLevel="0" collapsed="false">
      <c r="A35" s="15" t="s">
        <v>1285</v>
      </c>
      <c r="B35" s="15" t="s">
        <v>1293</v>
      </c>
      <c r="C35" s="15" t="s">
        <v>585</v>
      </c>
      <c r="D35" s="15" t="n">
        <v>36</v>
      </c>
      <c r="E35" s="15" t="s">
        <v>1289</v>
      </c>
      <c r="F35" s="15" t="n">
        <v>90</v>
      </c>
      <c r="G35" s="15" t="n">
        <v>0.000716</v>
      </c>
      <c r="H35" s="15" t="n">
        <v>8</v>
      </c>
      <c r="I35" s="16"/>
      <c r="J35" s="17" t="n">
        <f aca="false">IFERROR(F35*G35,0)</f>
        <v>0.06444</v>
      </c>
      <c r="K35" s="17" t="n">
        <f aca="false">IFERROR(I35*J35*H35,0)</f>
        <v>0</v>
      </c>
      <c r="L35" s="18" t="s">
        <v>1017</v>
      </c>
      <c r="M35" s="18" t="s">
        <v>1245</v>
      </c>
    </row>
    <row r="36" customFormat="false" ht="18" hidden="false" customHeight="true" outlineLevel="0" collapsed="false">
      <c r="A36" s="14" t="s">
        <v>1294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customFormat="false" ht="19.5" hidden="false" customHeight="true" outlineLevel="0" collapsed="false">
      <c r="A37" s="15" t="s">
        <v>1045</v>
      </c>
      <c r="B37" s="15" t="s">
        <v>1295</v>
      </c>
      <c r="C37" s="15" t="s">
        <v>1296</v>
      </c>
      <c r="D37" s="15" t="n">
        <v>0</v>
      </c>
      <c r="E37" s="15" t="s">
        <v>1297</v>
      </c>
      <c r="F37" s="15" t="n">
        <v>240</v>
      </c>
      <c r="G37" s="15" t="n">
        <v>0.00231</v>
      </c>
      <c r="H37" s="15" t="n">
        <v>8</v>
      </c>
      <c r="I37" s="16"/>
      <c r="J37" s="17" t="n">
        <f aca="false">IFERROR(F37*G37,0)</f>
        <v>0.5544</v>
      </c>
      <c r="K37" s="17" t="n">
        <f aca="false">IFERROR(I37*J37*H37,0)</f>
        <v>0</v>
      </c>
      <c r="L37" s="18" t="s">
        <v>1017</v>
      </c>
      <c r="M37" s="18" t="s">
        <v>1245</v>
      </c>
    </row>
    <row r="38" customFormat="false" ht="19.5" hidden="false" customHeight="true" outlineLevel="0" collapsed="false">
      <c r="A38" s="20" t="s">
        <v>1045</v>
      </c>
      <c r="B38" s="20" t="s">
        <v>1298</v>
      </c>
      <c r="C38" s="20" t="s">
        <v>1296</v>
      </c>
      <c r="D38" s="20" t="n">
        <v>0</v>
      </c>
      <c r="E38" s="20" t="s">
        <v>1299</v>
      </c>
      <c r="F38" s="20" t="n">
        <v>300</v>
      </c>
      <c r="G38" s="20" t="n">
        <v>0.00231</v>
      </c>
      <c r="H38" s="20" t="n">
        <v>8</v>
      </c>
      <c r="I38" s="16"/>
      <c r="J38" s="17" t="n">
        <f aca="false">IFERROR(F38*G38,0)</f>
        <v>0.693</v>
      </c>
      <c r="K38" s="17" t="n">
        <f aca="false">IFERROR(I38*J38*H38,0)</f>
        <v>0</v>
      </c>
      <c r="L38" s="21" t="s">
        <v>1017</v>
      </c>
      <c r="M38" s="21" t="s">
        <v>1245</v>
      </c>
    </row>
    <row r="39" customFormat="false" ht="19.5" hidden="false" customHeight="true" outlineLevel="0" collapsed="false">
      <c r="A39" s="15" t="s">
        <v>1045</v>
      </c>
      <c r="B39" s="15" t="s">
        <v>1300</v>
      </c>
      <c r="C39" s="15" t="s">
        <v>585</v>
      </c>
      <c r="D39" s="15" t="n">
        <v>0</v>
      </c>
      <c r="E39" s="15" t="s">
        <v>1301</v>
      </c>
      <c r="F39" s="15" t="n">
        <v>300</v>
      </c>
      <c r="G39" s="15" t="n">
        <v>0.000716</v>
      </c>
      <c r="H39" s="15" t="n">
        <v>8</v>
      </c>
      <c r="I39" s="16"/>
      <c r="J39" s="17" t="n">
        <f aca="false">IFERROR(F39*G39,0)</f>
        <v>0.2148</v>
      </c>
      <c r="K39" s="17" t="n">
        <f aca="false">IFERROR(I39*J39*H39,0)</f>
        <v>0</v>
      </c>
      <c r="L39" s="18" t="s">
        <v>1017</v>
      </c>
      <c r="M39" s="18" t="s">
        <v>1245</v>
      </c>
    </row>
    <row r="40" customFormat="false" ht="19.5" hidden="false" customHeight="true" outlineLevel="0" collapsed="false">
      <c r="A40" s="20" t="s">
        <v>1045</v>
      </c>
      <c r="B40" s="20" t="s">
        <v>1302</v>
      </c>
      <c r="C40" s="20" t="s">
        <v>1296</v>
      </c>
      <c r="D40" s="20" t="n">
        <v>0</v>
      </c>
      <c r="E40" s="20" t="s">
        <v>1303</v>
      </c>
      <c r="F40" s="20" t="n">
        <v>1000</v>
      </c>
      <c r="G40" s="20" t="n">
        <v>0.00231</v>
      </c>
      <c r="H40" s="20" t="n">
        <v>10</v>
      </c>
      <c r="I40" s="16"/>
      <c r="J40" s="17" t="n">
        <f aca="false">IFERROR(F40*G40,0)</f>
        <v>2.31</v>
      </c>
      <c r="K40" s="17" t="n">
        <f aca="false">IFERROR(I40*J40*H40,0)</f>
        <v>0</v>
      </c>
      <c r="L40" s="21" t="s">
        <v>1017</v>
      </c>
      <c r="M40" s="21" t="s">
        <v>1245</v>
      </c>
    </row>
    <row r="41" customFormat="false" ht="19.5" hidden="false" customHeight="true" outlineLevel="0" collapsed="false">
      <c r="A41" s="15" t="s">
        <v>1045</v>
      </c>
      <c r="B41" s="15" t="s">
        <v>1304</v>
      </c>
      <c r="C41" s="15" t="s">
        <v>1267</v>
      </c>
      <c r="D41" s="15" t="n">
        <v>0</v>
      </c>
      <c r="E41" s="15" t="s">
        <v>1305</v>
      </c>
      <c r="F41" s="15" t="n">
        <v>833</v>
      </c>
      <c r="G41" s="15" t="n">
        <v>0.00268</v>
      </c>
      <c r="H41" s="15" t="n">
        <v>10</v>
      </c>
      <c r="I41" s="16"/>
      <c r="J41" s="17" t="n">
        <f aca="false">IFERROR(F41*G41,0)</f>
        <v>2.23244</v>
      </c>
      <c r="K41" s="17" t="n">
        <f aca="false">IFERROR(I41*J41*H41,0)</f>
        <v>0</v>
      </c>
      <c r="L41" s="18" t="s">
        <v>1017</v>
      </c>
      <c r="M41" s="18" t="s">
        <v>1245</v>
      </c>
    </row>
    <row r="42" customFormat="false" ht="19.5" hidden="false" customHeight="true" outlineLevel="0" collapsed="false">
      <c r="A42" s="20" t="s">
        <v>1045</v>
      </c>
      <c r="B42" s="20" t="s">
        <v>1306</v>
      </c>
      <c r="C42" s="20" t="s">
        <v>585</v>
      </c>
      <c r="D42" s="20" t="n">
        <v>0</v>
      </c>
      <c r="E42" s="20" t="s">
        <v>1307</v>
      </c>
      <c r="F42" s="20" t="n">
        <v>2250</v>
      </c>
      <c r="G42" s="20" t="n">
        <v>0.000716</v>
      </c>
      <c r="H42" s="20" t="n">
        <v>10</v>
      </c>
      <c r="I42" s="16"/>
      <c r="J42" s="17" t="n">
        <f aca="false">IFERROR(F42*G42,0)</f>
        <v>1.611</v>
      </c>
      <c r="K42" s="17" t="n">
        <f aca="false">IFERROR(I42*J42*H42,0)</f>
        <v>0</v>
      </c>
      <c r="L42" s="21" t="s">
        <v>1017</v>
      </c>
      <c r="M42" s="21" t="s">
        <v>1245</v>
      </c>
    </row>
    <row r="43" customFormat="false" ht="19.5" hidden="false" customHeight="true" outlineLevel="0" collapsed="false">
      <c r="A43" s="15" t="s">
        <v>1045</v>
      </c>
      <c r="B43" s="15" t="s">
        <v>1308</v>
      </c>
      <c r="C43" s="15" t="s">
        <v>1267</v>
      </c>
      <c r="D43" s="15" t="n">
        <v>0</v>
      </c>
      <c r="E43" s="15" t="s">
        <v>1309</v>
      </c>
      <c r="F43" s="15" t="n">
        <v>3333</v>
      </c>
      <c r="G43" s="15" t="n">
        <v>0.00268</v>
      </c>
      <c r="H43" s="15" t="n">
        <v>10</v>
      </c>
      <c r="I43" s="16"/>
      <c r="J43" s="17" t="n">
        <f aca="false">IFERROR(F43*G43,0)</f>
        <v>8.93244</v>
      </c>
      <c r="K43" s="17" t="n">
        <f aca="false">IFERROR(I43*J43*H43,0)</f>
        <v>0</v>
      </c>
      <c r="L43" s="18" t="s">
        <v>1017</v>
      </c>
      <c r="M43" s="18" t="s">
        <v>1245</v>
      </c>
    </row>
    <row r="44" customFormat="false" ht="19.5" hidden="false" customHeight="true" outlineLevel="0" collapsed="false">
      <c r="A44" s="20" t="s">
        <v>1045</v>
      </c>
      <c r="B44" s="20" t="s">
        <v>1310</v>
      </c>
      <c r="C44" s="20" t="s">
        <v>1267</v>
      </c>
      <c r="D44" s="20" t="n">
        <v>0</v>
      </c>
      <c r="E44" s="20" t="s">
        <v>1311</v>
      </c>
      <c r="F44" s="20" t="n">
        <v>16000</v>
      </c>
      <c r="G44" s="20" t="n">
        <v>0.00268</v>
      </c>
      <c r="H44" s="20" t="n">
        <v>10</v>
      </c>
      <c r="I44" s="16"/>
      <c r="J44" s="17" t="n">
        <f aca="false">IFERROR(F44*G44,0)</f>
        <v>42.88</v>
      </c>
      <c r="K44" s="17" t="n">
        <f aca="false">IFERROR(I44*J44*H44,0)</f>
        <v>0</v>
      </c>
      <c r="L44" s="21" t="s">
        <v>1017</v>
      </c>
      <c r="M44" s="21" t="s">
        <v>1245</v>
      </c>
    </row>
    <row r="45" customFormat="false" ht="18" hidden="false" customHeight="true" outlineLevel="0" collapsed="false">
      <c r="A45" s="14" t="s">
        <v>1312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customFormat="false" ht="19.5" hidden="false" customHeight="true" outlineLevel="0" collapsed="false">
      <c r="A46" s="15" t="s">
        <v>1313</v>
      </c>
      <c r="B46" s="15" t="s">
        <v>1314</v>
      </c>
      <c r="C46" s="15" t="s">
        <v>585</v>
      </c>
      <c r="D46" s="15" t="n">
        <v>15</v>
      </c>
      <c r="E46" s="15" t="s">
        <v>1315</v>
      </c>
      <c r="F46" s="15" t="n">
        <v>27</v>
      </c>
      <c r="G46" s="15" t="n">
        <v>0.000716</v>
      </c>
      <c r="H46" s="15" t="n">
        <v>4</v>
      </c>
      <c r="I46" s="16"/>
      <c r="J46" s="17" t="n">
        <f aca="false">IFERROR(F46*G46,0)</f>
        <v>0.019332</v>
      </c>
      <c r="K46" s="17" t="n">
        <f aca="false">IFERROR(I46*J46*H46,0)</f>
        <v>0</v>
      </c>
      <c r="L46" s="18" t="s">
        <v>1017</v>
      </c>
      <c r="M46" s="18" t="s">
        <v>1245</v>
      </c>
    </row>
    <row r="47" customFormat="false" ht="19.5" hidden="false" customHeight="true" outlineLevel="0" collapsed="false">
      <c r="A47" s="20" t="s">
        <v>1313</v>
      </c>
      <c r="B47" s="20" t="s">
        <v>1316</v>
      </c>
      <c r="C47" s="20" t="s">
        <v>585</v>
      </c>
      <c r="D47" s="20" t="n">
        <v>100</v>
      </c>
      <c r="E47" s="20" t="s">
        <v>1268</v>
      </c>
      <c r="F47" s="20" t="n">
        <v>200</v>
      </c>
      <c r="G47" s="20" t="n">
        <v>0.000716</v>
      </c>
      <c r="H47" s="20" t="n">
        <v>4</v>
      </c>
      <c r="I47" s="16"/>
      <c r="J47" s="17" t="n">
        <f aca="false">IFERROR(F47*G47,0)</f>
        <v>0.1432</v>
      </c>
      <c r="K47" s="17" t="n">
        <f aca="false">IFERROR(I47*J47*H47,0)</f>
        <v>0</v>
      </c>
      <c r="L47" s="21" t="s">
        <v>1017</v>
      </c>
      <c r="M47" s="21" t="s">
        <v>1245</v>
      </c>
    </row>
    <row r="48" customFormat="false" ht="19.5" hidden="false" customHeight="true" outlineLevel="0" collapsed="false">
      <c r="A48" s="15" t="s">
        <v>1313</v>
      </c>
      <c r="B48" s="15" t="s">
        <v>1317</v>
      </c>
      <c r="C48" s="15" t="s">
        <v>585</v>
      </c>
      <c r="D48" s="15" t="n">
        <v>300</v>
      </c>
      <c r="E48" s="15" t="s">
        <v>1318</v>
      </c>
      <c r="F48" s="15" t="n">
        <v>2628</v>
      </c>
      <c r="G48" s="15" t="n">
        <v>0.000716</v>
      </c>
      <c r="H48" s="15" t="n">
        <v>5</v>
      </c>
      <c r="I48" s="16"/>
      <c r="J48" s="17" t="n">
        <f aca="false">IFERROR(F48*G48,0)</f>
        <v>1.881648</v>
      </c>
      <c r="K48" s="17" t="n">
        <f aca="false">IFERROR(I48*J48*H48,0)</f>
        <v>0</v>
      </c>
      <c r="L48" s="18" t="s">
        <v>1017</v>
      </c>
      <c r="M48" s="18" t="s">
        <v>1245</v>
      </c>
    </row>
    <row r="49" customFormat="false" ht="19.5" hidden="false" customHeight="true" outlineLevel="0" collapsed="false">
      <c r="A49" s="20" t="s">
        <v>1313</v>
      </c>
      <c r="B49" s="20" t="s">
        <v>1319</v>
      </c>
      <c r="C49" s="20" t="s">
        <v>585</v>
      </c>
      <c r="D49" s="20" t="n">
        <v>5</v>
      </c>
      <c r="E49" s="20" t="s">
        <v>1261</v>
      </c>
      <c r="F49" s="20" t="n">
        <v>1.8</v>
      </c>
      <c r="G49" s="20" t="n">
        <v>0.000716</v>
      </c>
      <c r="H49" s="20" t="n">
        <v>3</v>
      </c>
      <c r="I49" s="16"/>
      <c r="J49" s="17" t="n">
        <f aca="false">IFERROR(F49*G49,0)</f>
        <v>0.0012888</v>
      </c>
      <c r="K49" s="17" t="n">
        <f aca="false">IFERROR(I49*J49*H49,0)</f>
        <v>0</v>
      </c>
      <c r="L49" s="21" t="s">
        <v>1017</v>
      </c>
      <c r="M49" s="21" t="s">
        <v>1245</v>
      </c>
    </row>
    <row r="50" customFormat="false" ht="19.5" hidden="false" customHeight="true" outlineLevel="0" collapsed="false">
      <c r="A50" s="15" t="s">
        <v>1313</v>
      </c>
      <c r="B50" s="15" t="s">
        <v>1320</v>
      </c>
      <c r="C50" s="15" t="s">
        <v>585</v>
      </c>
      <c r="D50" s="15" t="n">
        <v>25</v>
      </c>
      <c r="E50" s="15" t="s">
        <v>1268</v>
      </c>
      <c r="F50" s="15" t="n">
        <v>50</v>
      </c>
      <c r="G50" s="15" t="n">
        <v>0.000716</v>
      </c>
      <c r="H50" s="15" t="n">
        <v>5</v>
      </c>
      <c r="I50" s="16"/>
      <c r="J50" s="17" t="n">
        <f aca="false">IFERROR(F50*G50,0)</f>
        <v>0.0358</v>
      </c>
      <c r="K50" s="17" t="n">
        <f aca="false">IFERROR(I50*J50*H50,0)</f>
        <v>0</v>
      </c>
      <c r="L50" s="18" t="s">
        <v>1017</v>
      </c>
      <c r="M50" s="18" t="s">
        <v>1245</v>
      </c>
    </row>
    <row r="51" customFormat="false" ht="19.5" hidden="false" customHeight="true" outlineLevel="0" collapsed="false">
      <c r="A51" s="20" t="s">
        <v>1313</v>
      </c>
      <c r="B51" s="20" t="s">
        <v>1321</v>
      </c>
      <c r="C51" s="20" t="s">
        <v>585</v>
      </c>
      <c r="D51" s="20" t="n">
        <v>400</v>
      </c>
      <c r="E51" s="20" t="s">
        <v>1322</v>
      </c>
      <c r="F51" s="20" t="n">
        <v>200</v>
      </c>
      <c r="G51" s="20" t="n">
        <v>0.000716</v>
      </c>
      <c r="H51" s="20" t="n">
        <v>5</v>
      </c>
      <c r="I51" s="16"/>
      <c r="J51" s="17" t="n">
        <f aca="false">IFERROR(F51*G51,0)</f>
        <v>0.1432</v>
      </c>
      <c r="K51" s="17" t="n">
        <f aca="false">IFERROR(I51*J51*H51,0)</f>
        <v>0</v>
      </c>
      <c r="L51" s="21" t="s">
        <v>1017</v>
      </c>
      <c r="M51" s="21" t="s">
        <v>1245</v>
      </c>
    </row>
    <row r="52" customFormat="false" ht="18" hidden="false" customHeight="true" outlineLevel="0" collapsed="false">
      <c r="A52" s="14" t="s">
        <v>1323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customFormat="false" ht="19.5" hidden="false" customHeight="true" outlineLevel="0" collapsed="false">
      <c r="A53" s="15" t="s">
        <v>1324</v>
      </c>
      <c r="B53" s="15" t="s">
        <v>1325</v>
      </c>
      <c r="C53" s="15" t="s">
        <v>1267</v>
      </c>
      <c r="D53" s="15" t="n">
        <v>0</v>
      </c>
      <c r="E53" s="15" t="s">
        <v>1326</v>
      </c>
      <c r="F53" s="15" t="n">
        <v>3500</v>
      </c>
      <c r="G53" s="15" t="n">
        <v>0.00268</v>
      </c>
      <c r="H53" s="15" t="n">
        <v>12</v>
      </c>
      <c r="I53" s="16"/>
      <c r="J53" s="17" t="n">
        <f aca="false">IFERROR(F53*G53,0)</f>
        <v>9.38</v>
      </c>
      <c r="K53" s="17" t="n">
        <f aca="false">IFERROR(I53*J53*H53,0)</f>
        <v>0</v>
      </c>
      <c r="L53" s="18" t="s">
        <v>1017</v>
      </c>
      <c r="M53" s="18" t="s">
        <v>1245</v>
      </c>
    </row>
    <row r="54" customFormat="false" ht="19.5" hidden="false" customHeight="true" outlineLevel="0" collapsed="false">
      <c r="A54" s="20" t="s">
        <v>1324</v>
      </c>
      <c r="B54" s="20" t="s">
        <v>1327</v>
      </c>
      <c r="C54" s="20" t="s">
        <v>1267</v>
      </c>
      <c r="D54" s="20" t="n">
        <v>0</v>
      </c>
      <c r="E54" s="20" t="s">
        <v>1272</v>
      </c>
      <c r="F54" s="20" t="n">
        <v>10000</v>
      </c>
      <c r="G54" s="20" t="n">
        <v>0.00268</v>
      </c>
      <c r="H54" s="20" t="n">
        <v>12</v>
      </c>
      <c r="I54" s="16"/>
      <c r="J54" s="17" t="n">
        <f aca="false">IFERROR(F54*G54,0)</f>
        <v>26.8</v>
      </c>
      <c r="K54" s="17" t="n">
        <f aca="false">IFERROR(I54*J54*H54,0)</f>
        <v>0</v>
      </c>
      <c r="L54" s="21" t="s">
        <v>1017</v>
      </c>
      <c r="M54" s="21" t="s">
        <v>1245</v>
      </c>
    </row>
    <row r="55" customFormat="false" ht="19.5" hidden="false" customHeight="true" outlineLevel="0" collapsed="false">
      <c r="A55" s="15" t="s">
        <v>1324</v>
      </c>
      <c r="B55" s="15" t="s">
        <v>1328</v>
      </c>
      <c r="C55" s="15" t="s">
        <v>585</v>
      </c>
      <c r="D55" s="15" t="n">
        <v>5000</v>
      </c>
      <c r="E55" s="15" t="s">
        <v>1329</v>
      </c>
      <c r="F55" s="15" t="n">
        <v>10000</v>
      </c>
      <c r="G55" s="15" t="n">
        <v>0.000716</v>
      </c>
      <c r="H55" s="15" t="n">
        <v>8</v>
      </c>
      <c r="I55" s="16"/>
      <c r="J55" s="17" t="n">
        <f aca="false">IFERROR(F55*G55,0)</f>
        <v>7.16</v>
      </c>
      <c r="K55" s="17" t="n">
        <f aca="false">IFERROR(I55*J55*H55,0)</f>
        <v>0</v>
      </c>
      <c r="L55" s="18" t="s">
        <v>1017</v>
      </c>
      <c r="M55" s="18" t="s">
        <v>1245</v>
      </c>
    </row>
    <row r="56" customFormat="false" ht="19.5" hidden="false" customHeight="true" outlineLevel="0" collapsed="false">
      <c r="A56" s="20" t="s">
        <v>1324</v>
      </c>
      <c r="B56" s="20" t="s">
        <v>1330</v>
      </c>
      <c r="C56" s="20" t="s">
        <v>585</v>
      </c>
      <c r="D56" s="20" t="n">
        <v>100</v>
      </c>
      <c r="E56" s="20" t="s">
        <v>1331</v>
      </c>
      <c r="F56" s="20" t="n">
        <v>877</v>
      </c>
      <c r="G56" s="20" t="n">
        <v>0.000716</v>
      </c>
      <c r="H56" s="20" t="n">
        <v>25</v>
      </c>
      <c r="I56" s="16"/>
      <c r="J56" s="17" t="n">
        <f aca="false">IFERROR(F56*G56,0)</f>
        <v>0.627932</v>
      </c>
      <c r="K56" s="17" t="n">
        <f aca="false">IFERROR(I56*J56*H56,0)</f>
        <v>0</v>
      </c>
      <c r="L56" s="21" t="s">
        <v>1017</v>
      </c>
      <c r="M56" s="21" t="s">
        <v>1245</v>
      </c>
    </row>
    <row r="57" customFormat="false" ht="19.5" hidden="false" customHeight="true" outlineLevel="0" collapsed="false">
      <c r="A57" s="15" t="s">
        <v>1324</v>
      </c>
      <c r="B57" s="15" t="s">
        <v>1332</v>
      </c>
      <c r="C57" s="15" t="s">
        <v>585</v>
      </c>
      <c r="D57" s="15" t="n">
        <v>30000</v>
      </c>
      <c r="E57" s="15" t="s">
        <v>1280</v>
      </c>
      <c r="F57" s="15" t="n">
        <v>120000</v>
      </c>
      <c r="G57" s="15" t="n">
        <v>0.000716</v>
      </c>
      <c r="H57" s="15" t="n">
        <v>15</v>
      </c>
      <c r="I57" s="16"/>
      <c r="J57" s="17" t="n">
        <f aca="false">IFERROR(F57*G57,0)</f>
        <v>85.92</v>
      </c>
      <c r="K57" s="17" t="n">
        <f aca="false">IFERROR(I57*J57*H57,0)</f>
        <v>0</v>
      </c>
      <c r="L57" s="18" t="s">
        <v>1017</v>
      </c>
      <c r="M57" s="18" t="s">
        <v>1245</v>
      </c>
    </row>
    <row r="58" customFormat="false" ht="18" hidden="false" customHeight="true" outlineLevel="0" collapsed="false">
      <c r="A58" s="14" t="s">
        <v>1333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customFormat="false" ht="19.5" hidden="false" customHeight="true" outlineLevel="0" collapsed="false">
      <c r="A59" s="15" t="s">
        <v>1334</v>
      </c>
      <c r="B59" s="15" t="s">
        <v>1335</v>
      </c>
      <c r="C59" s="15" t="s">
        <v>1267</v>
      </c>
      <c r="D59" s="15" t="n">
        <v>0</v>
      </c>
      <c r="E59" s="15" t="s">
        <v>1287</v>
      </c>
      <c r="F59" s="15" t="n">
        <v>600</v>
      </c>
      <c r="G59" s="15" t="n">
        <v>0.00268</v>
      </c>
      <c r="H59" s="15" t="n">
        <v>8</v>
      </c>
      <c r="I59" s="16"/>
      <c r="J59" s="17" t="n">
        <f aca="false">IFERROR(F59*G59,0)</f>
        <v>1.608</v>
      </c>
      <c r="K59" s="17" t="n">
        <f aca="false">IFERROR(I59*J59*H59,0)</f>
        <v>0</v>
      </c>
      <c r="L59" s="18" t="s">
        <v>1017</v>
      </c>
      <c r="M59" s="18" t="s">
        <v>1245</v>
      </c>
    </row>
    <row r="60" customFormat="false" ht="19.5" hidden="false" customHeight="true" outlineLevel="0" collapsed="false">
      <c r="A60" s="20" t="s">
        <v>1334</v>
      </c>
      <c r="B60" s="20" t="s">
        <v>1336</v>
      </c>
      <c r="C60" s="20" t="s">
        <v>1267</v>
      </c>
      <c r="D60" s="20" t="n">
        <v>0</v>
      </c>
      <c r="E60" s="20" t="s">
        <v>1244</v>
      </c>
      <c r="F60" s="20" t="n">
        <v>450</v>
      </c>
      <c r="G60" s="20" t="n">
        <v>0.00268</v>
      </c>
      <c r="H60" s="20" t="n">
        <v>10</v>
      </c>
      <c r="I60" s="16"/>
      <c r="J60" s="17" t="n">
        <f aca="false">IFERROR(F60*G60,0)</f>
        <v>1.206</v>
      </c>
      <c r="K60" s="17" t="n">
        <f aca="false">IFERROR(I60*J60*H60,0)</f>
        <v>0</v>
      </c>
      <c r="L60" s="21" t="s">
        <v>1017</v>
      </c>
      <c r="M60" s="21" t="s">
        <v>1245</v>
      </c>
    </row>
    <row r="61" customFormat="false" ht="19.5" hidden="false" customHeight="true" outlineLevel="0" collapsed="false">
      <c r="A61" s="15" t="s">
        <v>1334</v>
      </c>
      <c r="B61" s="15" t="s">
        <v>1337</v>
      </c>
      <c r="C61" s="15" t="s">
        <v>1267</v>
      </c>
      <c r="D61" s="15" t="n">
        <v>0</v>
      </c>
      <c r="E61" s="15" t="s">
        <v>1272</v>
      </c>
      <c r="F61" s="15" t="n">
        <v>250</v>
      </c>
      <c r="G61" s="15" t="n">
        <v>0.00268</v>
      </c>
      <c r="H61" s="15" t="n">
        <v>8</v>
      </c>
      <c r="I61" s="16"/>
      <c r="J61" s="17" t="n">
        <f aca="false">IFERROR(F61*G61,0)</f>
        <v>0.67</v>
      </c>
      <c r="K61" s="17" t="n">
        <f aca="false">IFERROR(I61*J61*H61,0)</f>
        <v>0</v>
      </c>
      <c r="L61" s="18" t="s">
        <v>1017</v>
      </c>
      <c r="M61" s="18" t="s">
        <v>1245</v>
      </c>
    </row>
    <row r="62" customFormat="false" ht="18" hidden="false" customHeight="true" outlineLevel="0" collapsed="false">
      <c r="A62" s="23" t="s">
        <v>430</v>
      </c>
      <c r="B62" s="23"/>
      <c r="C62" s="23"/>
      <c r="D62" s="23"/>
      <c r="E62" s="23"/>
      <c r="F62" s="23"/>
      <c r="G62" s="23"/>
      <c r="H62" s="23"/>
      <c r="I62" s="23"/>
      <c r="J62" s="23"/>
      <c r="K62" s="24" t="n">
        <f aca="false">SUM(K6:K61)</f>
        <v>0</v>
      </c>
      <c r="L62" s="23"/>
      <c r="M62" s="23"/>
    </row>
    <row r="63" customFormat="false" ht="15.75" hidden="false" customHeight="true" outlineLevel="0" collapsed="false"/>
    <row r="64" customFormat="false" ht="15.75" hidden="false" customHeight="true" outlineLevel="0" collapsed="false">
      <c r="A64" s="25" t="s">
        <v>1338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2">
    <mergeCell ref="A1:N1"/>
    <mergeCell ref="A2:N2"/>
    <mergeCell ref="A3:N3"/>
    <mergeCell ref="A6:M6"/>
    <mergeCell ref="A16:M16"/>
    <mergeCell ref="A23:M23"/>
    <mergeCell ref="A30:M30"/>
    <mergeCell ref="A36:M36"/>
    <mergeCell ref="A45:M45"/>
    <mergeCell ref="A52:M52"/>
    <mergeCell ref="A58:M58"/>
    <mergeCell ref="A64:M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11" min="5" style="1" width="14"/>
    <col collapsed="false" customWidth="true" hidden="false" outlineLevel="0" max="26" min="12" style="1" width="8.71"/>
  </cols>
  <sheetData>
    <row r="1" customFormat="false" ht="27.75" hidden="false" customHeight="true" outlineLevel="0" collapsed="false">
      <c r="A1" s="10" t="s">
        <v>1339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30" hidden="false" customHeight="true" outlineLevel="0" collapsed="false">
      <c r="A2" s="38" t="s">
        <v>1340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1230</v>
      </c>
      <c r="B5" s="13" t="s">
        <v>1231</v>
      </c>
      <c r="C5" s="13" t="s">
        <v>1341</v>
      </c>
      <c r="D5" s="13" t="s">
        <v>1342</v>
      </c>
      <c r="E5" s="13" t="s">
        <v>1343</v>
      </c>
      <c r="F5" s="13" t="s">
        <v>1238</v>
      </c>
      <c r="G5" s="13" t="s">
        <v>1344</v>
      </c>
      <c r="H5" s="13" t="s">
        <v>440</v>
      </c>
      <c r="I5" s="13" t="s">
        <v>97</v>
      </c>
      <c r="J5" s="13" t="s">
        <v>98</v>
      </c>
    </row>
    <row r="6" customFormat="false" ht="18" hidden="false" customHeight="true" outlineLevel="0" collapsed="false">
      <c r="A6" s="14" t="s">
        <v>1345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19.5" hidden="false" customHeight="true" outlineLevel="0" collapsed="false">
      <c r="A7" s="15" t="s">
        <v>1346</v>
      </c>
      <c r="B7" s="15" t="s">
        <v>1347</v>
      </c>
      <c r="C7" s="15" t="s">
        <v>1348</v>
      </c>
      <c r="D7" s="15" t="n">
        <v>0.3</v>
      </c>
      <c r="E7" s="15" t="n">
        <v>38</v>
      </c>
      <c r="F7" s="16"/>
      <c r="G7" s="17" t="n">
        <f aca="false">IFERROR(IF(E7="None",0,F7*E7/1000),0)</f>
        <v>0</v>
      </c>
      <c r="H7" s="17" t="n">
        <f aca="false">IFERROR(G7*D7,0)</f>
        <v>0</v>
      </c>
      <c r="I7" s="18" t="s">
        <v>736</v>
      </c>
      <c r="J7" s="19" t="s">
        <v>1349</v>
      </c>
    </row>
    <row r="8" customFormat="false" ht="19.5" hidden="false" customHeight="true" outlineLevel="0" collapsed="false">
      <c r="A8" s="20" t="s">
        <v>1346</v>
      </c>
      <c r="B8" s="20" t="s">
        <v>1350</v>
      </c>
      <c r="C8" s="20" t="s">
        <v>1351</v>
      </c>
      <c r="D8" s="20" t="n">
        <v>0.3</v>
      </c>
      <c r="E8" s="20" t="n">
        <v>55</v>
      </c>
      <c r="F8" s="16"/>
      <c r="G8" s="17" t="n">
        <f aca="false">IFERROR(IF(E8="None",0,F8*E8/1000),0)</f>
        <v>0</v>
      </c>
      <c r="H8" s="17" t="n">
        <f aca="false">IFERROR(G8*D8,0)</f>
        <v>0</v>
      </c>
      <c r="I8" s="21" t="s">
        <v>736</v>
      </c>
      <c r="J8" s="22" t="s">
        <v>1349</v>
      </c>
    </row>
    <row r="9" customFormat="false" ht="19.5" hidden="false" customHeight="true" outlineLevel="0" collapsed="false">
      <c r="A9" s="15" t="s">
        <v>1346</v>
      </c>
      <c r="B9" s="15" t="s">
        <v>1352</v>
      </c>
      <c r="C9" s="15" t="s">
        <v>1351</v>
      </c>
      <c r="D9" s="15" t="n">
        <v>0.28</v>
      </c>
      <c r="E9" s="15" t="n">
        <v>65</v>
      </c>
      <c r="F9" s="16"/>
      <c r="G9" s="17" t="n">
        <f aca="false">IFERROR(IF(E9="None",0,F9*E9/1000),0)</f>
        <v>0</v>
      </c>
      <c r="H9" s="17" t="n">
        <f aca="false">IFERROR(G9*D9,0)</f>
        <v>0</v>
      </c>
      <c r="I9" s="18" t="s">
        <v>736</v>
      </c>
      <c r="J9" s="19" t="s">
        <v>1349</v>
      </c>
    </row>
    <row r="10" customFormat="false" ht="19.5" hidden="false" customHeight="true" outlineLevel="0" collapsed="false">
      <c r="A10" s="20" t="s">
        <v>1346</v>
      </c>
      <c r="B10" s="20" t="s">
        <v>1353</v>
      </c>
      <c r="C10" s="20" t="s">
        <v>1351</v>
      </c>
      <c r="D10" s="20" t="n">
        <v>0.25</v>
      </c>
      <c r="E10" s="20" t="n">
        <v>15</v>
      </c>
      <c r="F10" s="16"/>
      <c r="G10" s="17" t="n">
        <f aca="false">IFERROR(IF(E10="None",0,F10*E10/1000),0)</f>
        <v>0</v>
      </c>
      <c r="H10" s="17" t="n">
        <f aca="false">IFERROR(G10*D10,0)</f>
        <v>0</v>
      </c>
      <c r="I10" s="21" t="s">
        <v>736</v>
      </c>
      <c r="J10" s="22" t="s">
        <v>1349</v>
      </c>
    </row>
    <row r="11" customFormat="false" ht="19.5" hidden="false" customHeight="true" outlineLevel="0" collapsed="false">
      <c r="A11" s="15" t="s">
        <v>1346</v>
      </c>
      <c r="B11" s="15" t="s">
        <v>1354</v>
      </c>
      <c r="C11" s="15" t="s">
        <v>1355</v>
      </c>
      <c r="D11" s="15" t="n">
        <v>0.35</v>
      </c>
      <c r="E11" s="15" t="n">
        <v>18</v>
      </c>
      <c r="F11" s="16"/>
      <c r="G11" s="17" t="n">
        <f aca="false">IFERROR(IF(E11="None",0,F11*E11/1000),0)</f>
        <v>0</v>
      </c>
      <c r="H11" s="17" t="n">
        <f aca="false">IFERROR(G11*D11,0)</f>
        <v>0</v>
      </c>
      <c r="I11" s="18" t="s">
        <v>736</v>
      </c>
      <c r="J11" s="19" t="s">
        <v>1349</v>
      </c>
    </row>
    <row r="12" customFormat="false" ht="19.5" hidden="false" customHeight="true" outlineLevel="0" collapsed="false">
      <c r="A12" s="20" t="s">
        <v>1346</v>
      </c>
      <c r="B12" s="20" t="s">
        <v>1356</v>
      </c>
      <c r="C12" s="20" t="s">
        <v>1357</v>
      </c>
      <c r="D12" s="20" t="n">
        <v>0.28</v>
      </c>
      <c r="E12" s="20" t="n">
        <v>4.2</v>
      </c>
      <c r="F12" s="16"/>
      <c r="G12" s="17" t="n">
        <f aca="false">IFERROR(IF(E12="None",0,F12*E12/1000),0)</f>
        <v>0</v>
      </c>
      <c r="H12" s="17" t="n">
        <f aca="false">IFERROR(G12*D12,0)</f>
        <v>0</v>
      </c>
      <c r="I12" s="21" t="s">
        <v>736</v>
      </c>
      <c r="J12" s="22" t="s">
        <v>1349</v>
      </c>
    </row>
    <row r="13" customFormat="false" ht="19.5" hidden="false" customHeight="true" outlineLevel="0" collapsed="false">
      <c r="A13" s="15" t="s">
        <v>1346</v>
      </c>
      <c r="B13" s="15" t="s">
        <v>1358</v>
      </c>
      <c r="C13" s="15" t="s">
        <v>1351</v>
      </c>
      <c r="D13" s="15" t="n">
        <v>0.3</v>
      </c>
      <c r="E13" s="15" t="n">
        <v>3.5</v>
      </c>
      <c r="F13" s="16"/>
      <c r="G13" s="17" t="n">
        <f aca="false">IFERROR(IF(E13="None",0,F13*E13/1000),0)</f>
        <v>0</v>
      </c>
      <c r="H13" s="17" t="n">
        <f aca="false">IFERROR(G13*D13,0)</f>
        <v>0</v>
      </c>
      <c r="I13" s="18" t="s">
        <v>736</v>
      </c>
      <c r="J13" s="19" t="s">
        <v>1349</v>
      </c>
    </row>
    <row r="14" customFormat="false" ht="18" hidden="false" customHeight="true" outlineLevel="0" collapsed="false">
      <c r="A14" s="14" t="s">
        <v>1359</v>
      </c>
      <c r="B14" s="14"/>
      <c r="C14" s="14"/>
      <c r="D14" s="14"/>
      <c r="E14" s="14"/>
      <c r="F14" s="14"/>
      <c r="G14" s="14"/>
      <c r="H14" s="14"/>
      <c r="I14" s="14"/>
      <c r="J14" s="14"/>
    </row>
    <row r="15" customFormat="false" ht="19.5" hidden="false" customHeight="true" outlineLevel="0" collapsed="false">
      <c r="A15" s="15" t="s">
        <v>537</v>
      </c>
      <c r="B15" s="15" t="s">
        <v>1360</v>
      </c>
      <c r="C15" s="15" t="s">
        <v>1361</v>
      </c>
      <c r="D15" s="15" t="n">
        <v>0.28</v>
      </c>
      <c r="E15" s="15" t="n">
        <v>2.2</v>
      </c>
      <c r="F15" s="16"/>
      <c r="G15" s="17" t="n">
        <f aca="false">IFERROR(IF(E15="None",0,F15*E15/1000),0)</f>
        <v>0</v>
      </c>
      <c r="H15" s="17" t="n">
        <f aca="false">IFERROR(G15*D15,0)</f>
        <v>0</v>
      </c>
      <c r="I15" s="18" t="s">
        <v>736</v>
      </c>
      <c r="J15" s="19" t="s">
        <v>1349</v>
      </c>
    </row>
    <row r="16" customFormat="false" ht="19.5" hidden="false" customHeight="true" outlineLevel="0" collapsed="false">
      <c r="A16" s="20" t="s">
        <v>537</v>
      </c>
      <c r="B16" s="20" t="s">
        <v>1362</v>
      </c>
      <c r="C16" s="20" t="s">
        <v>798</v>
      </c>
      <c r="D16" s="20" t="n">
        <v>0.28</v>
      </c>
      <c r="E16" s="20" t="n">
        <v>12</v>
      </c>
      <c r="F16" s="16"/>
      <c r="G16" s="17" t="n">
        <f aca="false">IFERROR(IF(E16="None",0,F16*E16/1000),0)</f>
        <v>0</v>
      </c>
      <c r="H16" s="17" t="n">
        <f aca="false">IFERROR(G16*D16,0)</f>
        <v>0</v>
      </c>
      <c r="I16" s="21" t="s">
        <v>736</v>
      </c>
      <c r="J16" s="22" t="s">
        <v>1349</v>
      </c>
    </row>
    <row r="17" customFormat="false" ht="19.5" hidden="false" customHeight="true" outlineLevel="0" collapsed="false">
      <c r="A17" s="15" t="s">
        <v>537</v>
      </c>
      <c r="B17" s="15" t="s">
        <v>1363</v>
      </c>
      <c r="C17" s="15" t="s">
        <v>798</v>
      </c>
      <c r="D17" s="15" t="n">
        <v>0.22</v>
      </c>
      <c r="E17" s="15" t="n">
        <v>0.2</v>
      </c>
      <c r="F17" s="16"/>
      <c r="G17" s="17" t="n">
        <f aca="false">IFERROR(IF(E17="None",0,F17*E17/1000),0)</f>
        <v>0</v>
      </c>
      <c r="H17" s="17" t="n">
        <f aca="false">IFERROR(G17*D17,0)</f>
        <v>0</v>
      </c>
      <c r="I17" s="18" t="s">
        <v>736</v>
      </c>
      <c r="J17" s="19" t="s">
        <v>1349</v>
      </c>
    </row>
    <row r="18" customFormat="false" ht="19.5" hidden="false" customHeight="true" outlineLevel="0" collapsed="false">
      <c r="A18" s="20" t="s">
        <v>537</v>
      </c>
      <c r="B18" s="20" t="s">
        <v>1364</v>
      </c>
      <c r="C18" s="20" t="s">
        <v>798</v>
      </c>
      <c r="D18" s="20" t="n">
        <v>0.28</v>
      </c>
      <c r="E18" s="20" t="n">
        <v>12</v>
      </c>
      <c r="F18" s="16"/>
      <c r="G18" s="17" t="n">
        <f aca="false">IFERROR(IF(E18="None",0,F18*E18/1000),0)</f>
        <v>0</v>
      </c>
      <c r="H18" s="17" t="n">
        <f aca="false">IFERROR(G18*D18,0)</f>
        <v>0</v>
      </c>
      <c r="I18" s="21" t="s">
        <v>736</v>
      </c>
      <c r="J18" s="22" t="s">
        <v>1349</v>
      </c>
    </row>
    <row r="19" customFormat="false" ht="19.5" hidden="false" customHeight="true" outlineLevel="0" collapsed="false">
      <c r="A19" s="15" t="s">
        <v>537</v>
      </c>
      <c r="B19" s="15" t="s">
        <v>1365</v>
      </c>
      <c r="C19" s="15" t="s">
        <v>1366</v>
      </c>
      <c r="D19" s="15" t="n">
        <v>0.45</v>
      </c>
      <c r="E19" s="15" t="n">
        <v>18</v>
      </c>
      <c r="F19" s="16"/>
      <c r="G19" s="17" t="n">
        <f aca="false">IFERROR(IF(E19="None",0,F19*E19/1000),0)</f>
        <v>0</v>
      </c>
      <c r="H19" s="17" t="n">
        <f aca="false">IFERROR(G19*D19,0)</f>
        <v>0</v>
      </c>
      <c r="I19" s="18" t="s">
        <v>736</v>
      </c>
      <c r="J19" s="19" t="s">
        <v>1349</v>
      </c>
    </row>
    <row r="20" customFormat="false" ht="19.5" hidden="false" customHeight="true" outlineLevel="0" collapsed="false">
      <c r="A20" s="20" t="s">
        <v>537</v>
      </c>
      <c r="B20" s="20" t="s">
        <v>1367</v>
      </c>
      <c r="C20" s="20" t="s">
        <v>1351</v>
      </c>
      <c r="D20" s="20" t="n">
        <v>0.3</v>
      </c>
      <c r="E20" s="20" t="n">
        <v>4.5</v>
      </c>
      <c r="F20" s="16"/>
      <c r="G20" s="17" t="n">
        <f aca="false">IFERROR(IF(E20="None",0,F20*E20/1000),0)</f>
        <v>0</v>
      </c>
      <c r="H20" s="17" t="n">
        <f aca="false">IFERROR(G20*D20,0)</f>
        <v>0</v>
      </c>
      <c r="I20" s="21" t="s">
        <v>736</v>
      </c>
      <c r="J20" s="22" t="s">
        <v>1349</v>
      </c>
    </row>
    <row r="21" customFormat="false" ht="19.5" hidden="false" customHeight="true" outlineLevel="0" collapsed="false">
      <c r="A21" s="15" t="s">
        <v>537</v>
      </c>
      <c r="B21" s="15" t="s">
        <v>1368</v>
      </c>
      <c r="C21" s="15" t="s">
        <v>1351</v>
      </c>
      <c r="D21" s="15" t="n">
        <v>0.32</v>
      </c>
      <c r="E21" s="15" t="n">
        <v>8</v>
      </c>
      <c r="F21" s="16"/>
      <c r="G21" s="17" t="n">
        <f aca="false">IFERROR(IF(E21="None",0,F21*E21/1000),0)</f>
        <v>0</v>
      </c>
      <c r="H21" s="17" t="n">
        <f aca="false">IFERROR(G21*D21,0)</f>
        <v>0</v>
      </c>
      <c r="I21" s="18" t="s">
        <v>736</v>
      </c>
      <c r="J21" s="19" t="s">
        <v>1349</v>
      </c>
    </row>
    <row r="22" customFormat="false" ht="18" hidden="false" customHeight="true" outlineLevel="0" collapsed="false">
      <c r="A22" s="14" t="s">
        <v>1369</v>
      </c>
      <c r="B22" s="14"/>
      <c r="C22" s="14"/>
      <c r="D22" s="14"/>
      <c r="E22" s="14"/>
      <c r="F22" s="14"/>
      <c r="G22" s="14"/>
      <c r="H22" s="14"/>
      <c r="I22" s="14"/>
      <c r="J22" s="14"/>
    </row>
    <row r="23" customFormat="false" ht="19.5" hidden="false" customHeight="true" outlineLevel="0" collapsed="false">
      <c r="A23" s="15" t="s">
        <v>134</v>
      </c>
      <c r="B23" s="15" t="s">
        <v>1370</v>
      </c>
      <c r="C23" s="15" t="s">
        <v>801</v>
      </c>
      <c r="D23" s="15" t="n">
        <v>0.18</v>
      </c>
      <c r="E23" s="15" t="n">
        <v>20</v>
      </c>
      <c r="F23" s="16"/>
      <c r="G23" s="17" t="n">
        <f aca="false">IFERROR(IF(E23="None",0,F23*E23/1000),0)</f>
        <v>0</v>
      </c>
      <c r="H23" s="17" t="n">
        <f aca="false">IFERROR(G23*D23,0)</f>
        <v>0</v>
      </c>
      <c r="I23" s="18" t="s">
        <v>736</v>
      </c>
      <c r="J23" s="19" t="s">
        <v>1349</v>
      </c>
    </row>
    <row r="24" customFormat="false" ht="19.5" hidden="false" customHeight="true" outlineLevel="0" collapsed="false">
      <c r="A24" s="20" t="s">
        <v>134</v>
      </c>
      <c r="B24" s="20" t="s">
        <v>1371</v>
      </c>
      <c r="C24" s="20" t="s">
        <v>1372</v>
      </c>
      <c r="D24" s="20" t="n">
        <v>0.12</v>
      </c>
      <c r="E24" s="20" t="n">
        <v>400</v>
      </c>
      <c r="F24" s="16"/>
      <c r="G24" s="17" t="n">
        <f aca="false">IFERROR(IF(E24="None",0,F24*E24/1000),0)</f>
        <v>0</v>
      </c>
      <c r="H24" s="17" t="n">
        <f aca="false">IFERROR(G24*D24,0)</f>
        <v>0</v>
      </c>
      <c r="I24" s="21" t="s">
        <v>736</v>
      </c>
      <c r="J24" s="22" t="s">
        <v>1349</v>
      </c>
    </row>
    <row r="25" customFormat="false" ht="19.5" hidden="false" customHeight="true" outlineLevel="0" collapsed="false">
      <c r="A25" s="15" t="s">
        <v>134</v>
      </c>
      <c r="B25" s="15" t="s">
        <v>1373</v>
      </c>
      <c r="C25" s="15" t="s">
        <v>1374</v>
      </c>
      <c r="D25" s="15" t="n">
        <v>0.14</v>
      </c>
      <c r="E25" s="15" t="n">
        <v>0.3</v>
      </c>
      <c r="F25" s="16"/>
      <c r="G25" s="17" t="n">
        <f aca="false">IFERROR(IF(E25="None",0,F25*E25/1000),0)</f>
        <v>0</v>
      </c>
      <c r="H25" s="17" t="n">
        <f aca="false">IFERROR(G25*D25,0)</f>
        <v>0</v>
      </c>
      <c r="I25" s="18" t="s">
        <v>736</v>
      </c>
      <c r="J25" s="19" t="s">
        <v>1349</v>
      </c>
    </row>
    <row r="26" customFormat="false" ht="19.5" hidden="false" customHeight="true" outlineLevel="0" collapsed="false">
      <c r="A26" s="20" t="s">
        <v>134</v>
      </c>
      <c r="B26" s="20" t="s">
        <v>1375</v>
      </c>
      <c r="C26" s="20" t="s">
        <v>769</v>
      </c>
      <c r="D26" s="20" t="n">
        <v>0.16</v>
      </c>
      <c r="E26" s="20" t="n">
        <v>5</v>
      </c>
      <c r="F26" s="16"/>
      <c r="G26" s="17" t="n">
        <f aca="false">IFERROR(IF(E26="None",0,F26*E26/1000),0)</f>
        <v>0</v>
      </c>
      <c r="H26" s="17" t="n">
        <f aca="false">IFERROR(G26*D26,0)</f>
        <v>0</v>
      </c>
      <c r="I26" s="21" t="s">
        <v>736</v>
      </c>
      <c r="J26" s="22" t="s">
        <v>1349</v>
      </c>
    </row>
    <row r="27" customFormat="false" ht="18" hidden="false" customHeight="true" outlineLevel="0" collapsed="false">
      <c r="A27" s="14" t="s">
        <v>1294</v>
      </c>
      <c r="B27" s="14"/>
      <c r="C27" s="14"/>
      <c r="D27" s="14"/>
      <c r="E27" s="14"/>
      <c r="F27" s="14"/>
      <c r="G27" s="14"/>
      <c r="H27" s="14"/>
      <c r="I27" s="14"/>
      <c r="J27" s="14"/>
    </row>
    <row r="28" customFormat="false" ht="19.5" hidden="false" customHeight="true" outlineLevel="0" collapsed="false">
      <c r="A28" s="15" t="s">
        <v>547</v>
      </c>
      <c r="B28" s="15" t="s">
        <v>1376</v>
      </c>
      <c r="C28" s="15" t="s">
        <v>1377</v>
      </c>
      <c r="D28" s="15" t="n">
        <v>0.12</v>
      </c>
      <c r="E28" s="15" t="n">
        <v>1100</v>
      </c>
      <c r="F28" s="16"/>
      <c r="G28" s="17" t="n">
        <f aca="false">IFERROR(IF(E28="None",0,F28*E28/1000),0)</f>
        <v>0</v>
      </c>
      <c r="H28" s="17" t="n">
        <f aca="false">IFERROR(G28*D28,0)</f>
        <v>0</v>
      </c>
      <c r="I28" s="18" t="s">
        <v>736</v>
      </c>
      <c r="J28" s="19" t="s">
        <v>1349</v>
      </c>
    </row>
    <row r="29" customFormat="false" ht="19.5" hidden="false" customHeight="true" outlineLevel="0" collapsed="false">
      <c r="A29" s="20" t="s">
        <v>547</v>
      </c>
      <c r="B29" s="20" t="s">
        <v>555</v>
      </c>
      <c r="C29" s="20" t="s">
        <v>1378</v>
      </c>
      <c r="D29" s="20" t="n">
        <v>0.1</v>
      </c>
      <c r="E29" s="20" t="n">
        <v>110</v>
      </c>
      <c r="F29" s="16"/>
      <c r="G29" s="17" t="n">
        <f aca="false">IFERROR(IF(E29="None",0,F29*E29/1000),0)</f>
        <v>0</v>
      </c>
      <c r="H29" s="17" t="n">
        <f aca="false">IFERROR(G29*D29,0)</f>
        <v>0</v>
      </c>
      <c r="I29" s="21" t="s">
        <v>736</v>
      </c>
      <c r="J29" s="22" t="s">
        <v>1349</v>
      </c>
    </row>
    <row r="30" customFormat="false" ht="19.5" hidden="false" customHeight="true" outlineLevel="0" collapsed="false">
      <c r="A30" s="15" t="s">
        <v>547</v>
      </c>
      <c r="B30" s="15" t="s">
        <v>1379</v>
      </c>
      <c r="C30" s="15" t="s">
        <v>1380</v>
      </c>
      <c r="D30" s="15" t="n">
        <v>0.1</v>
      </c>
      <c r="E30" s="15" t="n">
        <v>1200</v>
      </c>
      <c r="F30" s="16"/>
      <c r="G30" s="17" t="n">
        <f aca="false">IFERROR(IF(E30="None",0,F30*E30/1000),0)</f>
        <v>0</v>
      </c>
      <c r="H30" s="17" t="n">
        <f aca="false">IFERROR(G30*D30,0)</f>
        <v>0</v>
      </c>
      <c r="I30" s="18" t="s">
        <v>736</v>
      </c>
      <c r="J30" s="19" t="s">
        <v>1349</v>
      </c>
    </row>
    <row r="31" customFormat="false" ht="19.5" hidden="false" customHeight="true" outlineLevel="0" collapsed="false">
      <c r="A31" s="20" t="s">
        <v>547</v>
      </c>
      <c r="B31" s="20" t="s">
        <v>1381</v>
      </c>
      <c r="C31" s="20" t="s">
        <v>1382</v>
      </c>
      <c r="D31" s="20" t="n">
        <v>0.1</v>
      </c>
      <c r="E31" s="20" t="n">
        <v>120</v>
      </c>
      <c r="F31" s="16"/>
      <c r="G31" s="17" t="n">
        <f aca="false">IFERROR(IF(E31="None",0,F31*E31/1000),0)</f>
        <v>0</v>
      </c>
      <c r="H31" s="17" t="n">
        <f aca="false">IFERROR(G31*D31,0)</f>
        <v>0</v>
      </c>
      <c r="I31" s="21" t="s">
        <v>736</v>
      </c>
      <c r="J31" s="22" t="s">
        <v>1349</v>
      </c>
    </row>
    <row r="32" customFormat="false" ht="19.5" hidden="false" customHeight="true" outlineLevel="0" collapsed="false">
      <c r="A32" s="15" t="s">
        <v>547</v>
      </c>
      <c r="B32" s="15" t="s">
        <v>1383</v>
      </c>
      <c r="C32" s="15" t="s">
        <v>1384</v>
      </c>
      <c r="D32" s="15" t="n">
        <v>0.12</v>
      </c>
      <c r="E32" s="15" t="n">
        <v>1800</v>
      </c>
      <c r="F32" s="16"/>
      <c r="G32" s="17" t="n">
        <f aca="false">IFERROR(IF(E32="None",0,F32*E32/1000),0)</f>
        <v>0</v>
      </c>
      <c r="H32" s="17" t="n">
        <f aca="false">IFERROR(G32*D32,0)</f>
        <v>0</v>
      </c>
      <c r="I32" s="18" t="s">
        <v>736</v>
      </c>
      <c r="J32" s="19" t="s">
        <v>1349</v>
      </c>
    </row>
    <row r="33" customFormat="false" ht="19.5" hidden="false" customHeight="true" outlineLevel="0" collapsed="false">
      <c r="A33" s="20" t="s">
        <v>547</v>
      </c>
      <c r="B33" s="20" t="s">
        <v>1385</v>
      </c>
      <c r="C33" s="20" t="s">
        <v>1384</v>
      </c>
      <c r="D33" s="20" t="n">
        <v>0.12</v>
      </c>
      <c r="E33" s="20" t="n">
        <v>8500</v>
      </c>
      <c r="F33" s="16"/>
      <c r="G33" s="17" t="n">
        <f aca="false">IFERROR(IF(E33="None",0,F33*E33/1000),0)</f>
        <v>0</v>
      </c>
      <c r="H33" s="17" t="n">
        <f aca="false">IFERROR(G33*D33,0)</f>
        <v>0</v>
      </c>
      <c r="I33" s="21" t="s">
        <v>736</v>
      </c>
      <c r="J33" s="22" t="s">
        <v>1349</v>
      </c>
    </row>
    <row r="34" customFormat="false" ht="18" hidden="false" customHeight="true" outlineLevel="0" collapsed="false">
      <c r="A34" s="14" t="s">
        <v>1386</v>
      </c>
      <c r="B34" s="14"/>
      <c r="C34" s="14"/>
      <c r="D34" s="14"/>
      <c r="E34" s="14"/>
      <c r="F34" s="14"/>
      <c r="G34" s="14"/>
      <c r="H34" s="14"/>
      <c r="I34" s="14"/>
      <c r="J34" s="14"/>
    </row>
    <row r="35" customFormat="false" ht="19.5" hidden="false" customHeight="true" outlineLevel="0" collapsed="false">
      <c r="A35" s="15" t="s">
        <v>1028</v>
      </c>
      <c r="B35" s="15" t="s">
        <v>1387</v>
      </c>
      <c r="C35" s="15" t="s">
        <v>1388</v>
      </c>
      <c r="D35" s="15" t="n">
        <v>0.05</v>
      </c>
      <c r="E35" s="15" t="n">
        <v>45</v>
      </c>
      <c r="F35" s="16"/>
      <c r="G35" s="17" t="n">
        <f aca="false">IFERROR(IF(E35="None",0,F35*E35/1000),0)</f>
        <v>0</v>
      </c>
      <c r="H35" s="17" t="n">
        <f aca="false">IFERROR(G35*D35,0)</f>
        <v>0</v>
      </c>
      <c r="I35" s="18" t="s">
        <v>736</v>
      </c>
      <c r="J35" s="19" t="s">
        <v>1349</v>
      </c>
    </row>
    <row r="36" customFormat="false" ht="19.5" hidden="false" customHeight="true" outlineLevel="0" collapsed="false">
      <c r="A36" s="20" t="s">
        <v>1028</v>
      </c>
      <c r="B36" s="20" t="s">
        <v>1389</v>
      </c>
      <c r="C36" s="20" t="s">
        <v>1390</v>
      </c>
      <c r="D36" s="20" t="n">
        <v>0.05</v>
      </c>
      <c r="E36" s="20" t="n">
        <v>80</v>
      </c>
      <c r="F36" s="16"/>
      <c r="G36" s="17" t="n">
        <f aca="false">IFERROR(IF(E36="None",0,F36*E36/1000),0)</f>
        <v>0</v>
      </c>
      <c r="H36" s="17" t="n">
        <f aca="false">IFERROR(G36*D36,0)</f>
        <v>0</v>
      </c>
      <c r="I36" s="21" t="s">
        <v>736</v>
      </c>
      <c r="J36" s="22" t="s">
        <v>1349</v>
      </c>
    </row>
    <row r="37" customFormat="false" ht="19.5" hidden="false" customHeight="true" outlineLevel="0" collapsed="false">
      <c r="A37" s="15" t="s">
        <v>1028</v>
      </c>
      <c r="B37" s="15" t="s">
        <v>1391</v>
      </c>
      <c r="C37" s="15" t="s">
        <v>1392</v>
      </c>
      <c r="D37" s="15" t="n">
        <v>0.06</v>
      </c>
      <c r="E37" s="15" t="n">
        <v>2500</v>
      </c>
      <c r="F37" s="16"/>
      <c r="G37" s="17" t="n">
        <f aca="false">IFERROR(IF(E37="None",0,F37*E37/1000),0)</f>
        <v>0</v>
      </c>
      <c r="H37" s="17" t="n">
        <f aca="false">IFERROR(G37*D37,0)</f>
        <v>0</v>
      </c>
      <c r="I37" s="18" t="s">
        <v>736</v>
      </c>
      <c r="J37" s="19" t="s">
        <v>1349</v>
      </c>
    </row>
    <row r="38" customFormat="false" ht="19.5" hidden="false" customHeight="true" outlineLevel="0" collapsed="false">
      <c r="A38" s="20" t="s">
        <v>1028</v>
      </c>
      <c r="B38" s="20" t="s">
        <v>1393</v>
      </c>
      <c r="C38" s="20" t="s">
        <v>1394</v>
      </c>
      <c r="D38" s="20" t="n">
        <v>0.08</v>
      </c>
      <c r="E38" s="20" t="n">
        <v>280</v>
      </c>
      <c r="F38" s="16"/>
      <c r="G38" s="17" t="n">
        <f aca="false">IFERROR(IF(E38="None",0,F38*E38/1000),0)</f>
        <v>0</v>
      </c>
      <c r="H38" s="17" t="n">
        <f aca="false">IFERROR(G38*D38,0)</f>
        <v>0</v>
      </c>
      <c r="I38" s="21" t="s">
        <v>736</v>
      </c>
      <c r="J38" s="22" t="s">
        <v>1349</v>
      </c>
    </row>
    <row r="39" customFormat="false" ht="19.5" hidden="false" customHeight="true" outlineLevel="0" collapsed="false">
      <c r="A39" s="15" t="s">
        <v>1028</v>
      </c>
      <c r="B39" s="15" t="s">
        <v>1395</v>
      </c>
      <c r="C39" s="15" t="s">
        <v>1396</v>
      </c>
      <c r="D39" s="15" t="n">
        <v>0.09</v>
      </c>
      <c r="E39" s="15" t="n">
        <v>1200</v>
      </c>
      <c r="F39" s="16"/>
      <c r="G39" s="17" t="n">
        <f aca="false">IFERROR(IF(E39="None",0,F39*E39/1000),0)</f>
        <v>0</v>
      </c>
      <c r="H39" s="17" t="n">
        <f aca="false">IFERROR(G39*D39,0)</f>
        <v>0</v>
      </c>
      <c r="I39" s="18" t="s">
        <v>736</v>
      </c>
      <c r="J39" s="19" t="s">
        <v>1349</v>
      </c>
    </row>
    <row r="40" customFormat="false" ht="19.5" hidden="false" customHeight="true" outlineLevel="0" collapsed="false">
      <c r="A40" s="20" t="s">
        <v>1028</v>
      </c>
      <c r="B40" s="20" t="s">
        <v>1397</v>
      </c>
      <c r="C40" s="20" t="s">
        <v>1388</v>
      </c>
      <c r="D40" s="20" t="n">
        <v>0.06</v>
      </c>
      <c r="E40" s="20" t="n">
        <v>450</v>
      </c>
      <c r="F40" s="16"/>
      <c r="G40" s="17" t="n">
        <f aca="false">IFERROR(IF(E40="None",0,F40*E40/1000),0)</f>
        <v>0</v>
      </c>
      <c r="H40" s="17" t="n">
        <f aca="false">IFERROR(G40*D40,0)</f>
        <v>0</v>
      </c>
      <c r="I40" s="21" t="s">
        <v>736</v>
      </c>
      <c r="J40" s="22" t="s">
        <v>1349</v>
      </c>
    </row>
    <row r="41" customFormat="false" ht="18" hidden="false" customHeight="true" outlineLevel="0" collapsed="false">
      <c r="A41" s="14" t="s">
        <v>1398</v>
      </c>
      <c r="B41" s="14"/>
      <c r="C41" s="14"/>
      <c r="D41" s="14"/>
      <c r="E41" s="14"/>
      <c r="F41" s="14"/>
      <c r="G41" s="14"/>
      <c r="H41" s="14"/>
      <c r="I41" s="14"/>
      <c r="J41" s="14"/>
    </row>
    <row r="42" customFormat="false" ht="19.5" hidden="false" customHeight="true" outlineLevel="0" collapsed="false">
      <c r="A42" s="15" t="s">
        <v>109</v>
      </c>
      <c r="B42" s="15" t="s">
        <v>1399</v>
      </c>
      <c r="C42" s="15" t="s">
        <v>1400</v>
      </c>
      <c r="D42" s="15" t="n">
        <v>-0.95</v>
      </c>
      <c r="E42" s="15"/>
      <c r="F42" s="16"/>
      <c r="G42" s="17" t="n">
        <f aca="false">IFERROR(IF(E42="None",0,F42*E42/1000),0)</f>
        <v>0</v>
      </c>
      <c r="H42" s="17" t="n">
        <f aca="false">IFERROR(G42*D42,0)</f>
        <v>-0</v>
      </c>
      <c r="I42" s="18" t="s">
        <v>736</v>
      </c>
      <c r="J42" s="19" t="s">
        <v>1349</v>
      </c>
    </row>
    <row r="43" customFormat="false" ht="19.5" hidden="false" customHeight="true" outlineLevel="0" collapsed="false">
      <c r="A43" s="20" t="s">
        <v>109</v>
      </c>
      <c r="B43" s="20" t="s">
        <v>1401</v>
      </c>
      <c r="C43" s="20" t="s">
        <v>1402</v>
      </c>
      <c r="D43" s="20" t="n">
        <v>-2.8</v>
      </c>
      <c r="E43" s="20"/>
      <c r="F43" s="16"/>
      <c r="G43" s="17" t="n">
        <f aca="false">IFERROR(IF(E43="None",0,F43*E43/1000),0)</f>
        <v>0</v>
      </c>
      <c r="H43" s="17" t="n">
        <f aca="false">IFERROR(G43*D43,0)</f>
        <v>-0</v>
      </c>
      <c r="I43" s="21" t="s">
        <v>736</v>
      </c>
      <c r="J43" s="22" t="s">
        <v>1349</v>
      </c>
    </row>
    <row r="44" customFormat="false" ht="19.5" hidden="false" customHeight="true" outlineLevel="0" collapsed="false">
      <c r="A44" s="15" t="s">
        <v>109</v>
      </c>
      <c r="B44" s="15" t="s">
        <v>1403</v>
      </c>
      <c r="C44" s="15" t="s">
        <v>1404</v>
      </c>
      <c r="D44" s="15" t="n">
        <v>0.02</v>
      </c>
      <c r="E44" s="15"/>
      <c r="F44" s="16"/>
      <c r="G44" s="17" t="n">
        <f aca="false">IFERROR(IF(E44="None",0,F44*E44/1000),0)</f>
        <v>0</v>
      </c>
      <c r="H44" s="17" t="n">
        <f aca="false">IFERROR(G44*D44,0)</f>
        <v>0</v>
      </c>
      <c r="I44" s="18" t="s">
        <v>736</v>
      </c>
      <c r="J44" s="19" t="s">
        <v>1349</v>
      </c>
    </row>
    <row r="45" customFormat="false" ht="19.5" hidden="false" customHeight="true" outlineLevel="0" collapsed="false">
      <c r="A45" s="20" t="s">
        <v>109</v>
      </c>
      <c r="B45" s="20" t="s">
        <v>1405</v>
      </c>
      <c r="C45" s="20" t="s">
        <v>1406</v>
      </c>
      <c r="D45" s="20" t="n">
        <v>0.028</v>
      </c>
      <c r="E45" s="20"/>
      <c r="F45" s="16"/>
      <c r="G45" s="17" t="n">
        <f aca="false">IFERROR(IF(E45="None",0,F45*E45/1000),0)</f>
        <v>0</v>
      </c>
      <c r="H45" s="17" t="n">
        <f aca="false">IFERROR(G45*D45,0)</f>
        <v>0</v>
      </c>
      <c r="I45" s="21" t="s">
        <v>736</v>
      </c>
      <c r="J45" s="22" t="s">
        <v>1349</v>
      </c>
    </row>
    <row r="46" customFormat="false" ht="19.5" hidden="false" customHeight="true" outlineLevel="0" collapsed="false">
      <c r="A46" s="15" t="s">
        <v>109</v>
      </c>
      <c r="B46" s="15" t="s">
        <v>1407</v>
      </c>
      <c r="C46" s="15" t="s">
        <v>1408</v>
      </c>
      <c r="D46" s="15" t="n">
        <v>0.05</v>
      </c>
      <c r="E46" s="15"/>
      <c r="F46" s="16"/>
      <c r="G46" s="17" t="n">
        <f aca="false">IFERROR(IF(E46="None",0,F46*E46/1000),0)</f>
        <v>0</v>
      </c>
      <c r="H46" s="17" t="n">
        <f aca="false">IFERROR(G46*D46,0)</f>
        <v>0</v>
      </c>
      <c r="I46" s="18" t="s">
        <v>736</v>
      </c>
      <c r="J46" s="19" t="s">
        <v>1349</v>
      </c>
    </row>
    <row r="47" customFormat="false" ht="19.5" hidden="false" customHeight="true" outlineLevel="0" collapsed="false">
      <c r="A47" s="20" t="s">
        <v>109</v>
      </c>
      <c r="B47" s="20" t="s">
        <v>1409</v>
      </c>
      <c r="C47" s="20" t="s">
        <v>1410</v>
      </c>
      <c r="D47" s="20" t="n">
        <v>0.32</v>
      </c>
      <c r="E47" s="20"/>
      <c r="F47" s="16"/>
      <c r="G47" s="17" t="n">
        <f aca="false">IFERROR(IF(E47="None",0,F47*E47/1000),0)</f>
        <v>0</v>
      </c>
      <c r="H47" s="17" t="n">
        <f aca="false">IFERROR(G47*D47,0)</f>
        <v>0</v>
      </c>
      <c r="I47" s="21" t="s">
        <v>736</v>
      </c>
      <c r="J47" s="22" t="s">
        <v>1349</v>
      </c>
    </row>
    <row r="48" customFormat="false" ht="19.5" hidden="false" customHeight="true" outlineLevel="0" collapsed="false">
      <c r="A48" s="15" t="s">
        <v>109</v>
      </c>
      <c r="B48" s="15" t="s">
        <v>1411</v>
      </c>
      <c r="C48" s="15" t="s">
        <v>1412</v>
      </c>
      <c r="D48" s="15" t="n">
        <v>0.005</v>
      </c>
      <c r="E48" s="15"/>
      <c r="F48" s="16"/>
      <c r="G48" s="17" t="n">
        <f aca="false">IFERROR(IF(E48="None",0,F48*E48/1000),0)</f>
        <v>0</v>
      </c>
      <c r="H48" s="17" t="n">
        <f aca="false">IFERROR(G48*D48,0)</f>
        <v>0</v>
      </c>
      <c r="I48" s="18" t="s">
        <v>736</v>
      </c>
      <c r="J48" s="19" t="s">
        <v>1349</v>
      </c>
    </row>
    <row r="49" customFormat="false" ht="18" hidden="false" customHeight="true" outlineLevel="0" collapsed="false">
      <c r="A49" s="14" t="s">
        <v>1413</v>
      </c>
      <c r="B49" s="14"/>
      <c r="C49" s="14"/>
      <c r="D49" s="14"/>
      <c r="E49" s="14"/>
      <c r="F49" s="14"/>
      <c r="G49" s="14"/>
      <c r="H49" s="14"/>
      <c r="I49" s="14"/>
      <c r="J49" s="14"/>
    </row>
    <row r="50" customFormat="false" ht="19.5" hidden="false" customHeight="true" outlineLevel="0" collapsed="false">
      <c r="A50" s="15" t="s">
        <v>242</v>
      </c>
      <c r="B50" s="15" t="s">
        <v>1414</v>
      </c>
      <c r="C50" s="15" t="s">
        <v>769</v>
      </c>
      <c r="D50" s="15" t="n">
        <v>-0.82</v>
      </c>
      <c r="E50" s="15"/>
      <c r="F50" s="16"/>
      <c r="G50" s="17" t="n">
        <f aca="false">IFERROR(IF(E50="None",0,F50*E50/1000),0)</f>
        <v>0</v>
      </c>
      <c r="H50" s="17" t="n">
        <f aca="false">IFERROR(G50*D50,0)</f>
        <v>-0</v>
      </c>
      <c r="I50" s="18" t="s">
        <v>736</v>
      </c>
      <c r="J50" s="19" t="s">
        <v>1349</v>
      </c>
    </row>
    <row r="51" customFormat="false" ht="19.5" hidden="false" customHeight="true" outlineLevel="0" collapsed="false">
      <c r="A51" s="20" t="s">
        <v>242</v>
      </c>
      <c r="B51" s="20" t="s">
        <v>1415</v>
      </c>
      <c r="C51" s="20" t="s">
        <v>780</v>
      </c>
      <c r="D51" s="20" t="n">
        <v>-0.25</v>
      </c>
      <c r="E51" s="20"/>
      <c r="F51" s="16"/>
      <c r="G51" s="17" t="n">
        <f aca="false">IFERROR(IF(E51="None",0,F51*E51/1000),0)</f>
        <v>0</v>
      </c>
      <c r="H51" s="17" t="n">
        <f aca="false">IFERROR(G51*D51,0)</f>
        <v>-0</v>
      </c>
      <c r="I51" s="21" t="s">
        <v>736</v>
      </c>
      <c r="J51" s="22" t="s">
        <v>1349</v>
      </c>
    </row>
    <row r="52" customFormat="false" ht="19.5" hidden="false" customHeight="true" outlineLevel="0" collapsed="false">
      <c r="A52" s="15" t="s">
        <v>242</v>
      </c>
      <c r="B52" s="15" t="s">
        <v>1416</v>
      </c>
      <c r="C52" s="15" t="s">
        <v>782</v>
      </c>
      <c r="D52" s="15" t="n">
        <v>-0.2</v>
      </c>
      <c r="E52" s="15"/>
      <c r="F52" s="16"/>
      <c r="G52" s="17" t="n">
        <f aca="false">IFERROR(IF(E52="None",0,F52*E52/1000),0)</f>
        <v>0</v>
      </c>
      <c r="H52" s="17" t="n">
        <f aca="false">IFERROR(G52*D52,0)</f>
        <v>-0</v>
      </c>
      <c r="I52" s="18" t="s">
        <v>736</v>
      </c>
      <c r="J52" s="19" t="s">
        <v>1349</v>
      </c>
    </row>
    <row r="53" customFormat="false" ht="19.5" hidden="false" customHeight="true" outlineLevel="0" collapsed="false">
      <c r="A53" s="20" t="s">
        <v>242</v>
      </c>
      <c r="B53" s="20" t="s">
        <v>1417</v>
      </c>
      <c r="C53" s="20" t="s">
        <v>1404</v>
      </c>
      <c r="D53" s="20" t="n">
        <v>-0.12</v>
      </c>
      <c r="E53" s="20"/>
      <c r="F53" s="16"/>
      <c r="G53" s="17" t="n">
        <f aca="false">IFERROR(IF(E53="None",0,F53*E53/1000),0)</f>
        <v>0</v>
      </c>
      <c r="H53" s="17" t="n">
        <f aca="false">IFERROR(G53*D53,0)</f>
        <v>-0</v>
      </c>
      <c r="I53" s="21" t="s">
        <v>736</v>
      </c>
      <c r="J53" s="22" t="s">
        <v>1349</v>
      </c>
    </row>
    <row r="54" customFormat="false" ht="19.5" hidden="false" customHeight="true" outlineLevel="0" collapsed="false">
      <c r="A54" s="15" t="s">
        <v>242</v>
      </c>
      <c r="B54" s="15" t="s">
        <v>1418</v>
      </c>
      <c r="C54" s="15" t="s">
        <v>1402</v>
      </c>
      <c r="D54" s="15" t="n">
        <v>-2.8</v>
      </c>
      <c r="E54" s="15"/>
      <c r="F54" s="16"/>
      <c r="G54" s="17" t="n">
        <f aca="false">IFERROR(IF(E54="None",0,F54*E54/1000),0)</f>
        <v>0</v>
      </c>
      <c r="H54" s="17" t="n">
        <f aca="false">IFERROR(G54*D54,0)</f>
        <v>-0</v>
      </c>
      <c r="I54" s="18" t="s">
        <v>736</v>
      </c>
      <c r="J54" s="19" t="s">
        <v>1349</v>
      </c>
    </row>
    <row r="55" customFormat="false" ht="19.5" hidden="false" customHeight="true" outlineLevel="0" collapsed="false">
      <c r="A55" s="20" t="s">
        <v>242</v>
      </c>
      <c r="B55" s="20" t="s">
        <v>1419</v>
      </c>
      <c r="C55" s="20" t="s">
        <v>1420</v>
      </c>
      <c r="D55" s="20" t="n">
        <v>0.18</v>
      </c>
      <c r="E55" s="20"/>
      <c r="F55" s="16"/>
      <c r="G55" s="17" t="n">
        <f aca="false">IFERROR(IF(E55="None",0,F55*E55/1000),0)</f>
        <v>0</v>
      </c>
      <c r="H55" s="17" t="n">
        <f aca="false">IFERROR(G55*D55,0)</f>
        <v>0</v>
      </c>
      <c r="I55" s="21" t="s">
        <v>736</v>
      </c>
      <c r="J55" s="22" t="s">
        <v>1349</v>
      </c>
    </row>
    <row r="56" customFormat="false" ht="19.5" hidden="false" customHeight="true" outlineLevel="0" collapsed="false">
      <c r="A56" s="15" t="s">
        <v>242</v>
      </c>
      <c r="B56" s="15" t="s">
        <v>1421</v>
      </c>
      <c r="C56" s="15" t="s">
        <v>732</v>
      </c>
      <c r="D56" s="15" t="n">
        <v>0.28</v>
      </c>
      <c r="E56" s="15"/>
      <c r="F56" s="16"/>
      <c r="G56" s="17" t="n">
        <f aca="false">IFERROR(IF(E56="None",0,F56*E56/1000),0)</f>
        <v>0</v>
      </c>
      <c r="H56" s="17" t="n">
        <f aca="false">IFERROR(G56*D56,0)</f>
        <v>0</v>
      </c>
      <c r="I56" s="18" t="s">
        <v>736</v>
      </c>
      <c r="J56" s="19" t="s">
        <v>1349</v>
      </c>
    </row>
    <row r="57" customFormat="false" ht="18" hidden="false" customHeight="true" outlineLevel="0" collapsed="false">
      <c r="A57" s="14" t="s">
        <v>1422</v>
      </c>
      <c r="B57" s="14"/>
      <c r="C57" s="14"/>
      <c r="D57" s="14"/>
      <c r="E57" s="14"/>
      <c r="F57" s="14"/>
      <c r="G57" s="14"/>
      <c r="H57" s="14"/>
      <c r="I57" s="14"/>
      <c r="J57" s="14"/>
    </row>
    <row r="58" customFormat="false" ht="19.5" hidden="false" customHeight="true" outlineLevel="0" collapsed="false">
      <c r="A58" s="15" t="s">
        <v>1423</v>
      </c>
      <c r="B58" s="15" t="s">
        <v>1424</v>
      </c>
      <c r="C58" s="15" t="s">
        <v>1425</v>
      </c>
      <c r="D58" s="15" t="n">
        <v>0.22</v>
      </c>
      <c r="E58" s="15"/>
      <c r="F58" s="16"/>
      <c r="G58" s="17" t="n">
        <f aca="false">IFERROR(IF(E58="None",0,F58*E58/1000),0)</f>
        <v>0</v>
      </c>
      <c r="H58" s="17" t="n">
        <f aca="false">IFERROR(G58*D58,0)</f>
        <v>0</v>
      </c>
      <c r="I58" s="18" t="s">
        <v>736</v>
      </c>
      <c r="J58" s="19" t="s">
        <v>1349</v>
      </c>
    </row>
    <row r="59" customFormat="false" ht="19.5" hidden="false" customHeight="true" outlineLevel="0" collapsed="false">
      <c r="A59" s="20" t="s">
        <v>1423</v>
      </c>
      <c r="B59" s="20" t="s">
        <v>1426</v>
      </c>
      <c r="C59" s="20" t="s">
        <v>1420</v>
      </c>
      <c r="D59" s="20" t="n">
        <v>0.35</v>
      </c>
      <c r="E59" s="20"/>
      <c r="F59" s="16"/>
      <c r="G59" s="17" t="n">
        <f aca="false">IFERROR(IF(E59="None",0,F59*E59/1000),0)</f>
        <v>0</v>
      </c>
      <c r="H59" s="17" t="n">
        <f aca="false">IFERROR(G59*D59,0)</f>
        <v>0</v>
      </c>
      <c r="I59" s="21" t="s">
        <v>736</v>
      </c>
      <c r="J59" s="22" t="s">
        <v>1349</v>
      </c>
    </row>
    <row r="60" customFormat="false" ht="19.5" hidden="false" customHeight="true" outlineLevel="0" collapsed="false">
      <c r="A60" s="15" t="s">
        <v>1423</v>
      </c>
      <c r="B60" s="15" t="s">
        <v>1427</v>
      </c>
      <c r="C60" s="15" t="s">
        <v>1428</v>
      </c>
      <c r="D60" s="15" t="n">
        <v>0.55</v>
      </c>
      <c r="E60" s="15"/>
      <c r="F60" s="16"/>
      <c r="G60" s="17" t="n">
        <f aca="false">IFERROR(IF(E60="None",0,F60*E60/1000),0)</f>
        <v>0</v>
      </c>
      <c r="H60" s="17" t="n">
        <f aca="false">IFERROR(G60*D60,0)</f>
        <v>0</v>
      </c>
      <c r="I60" s="18" t="s">
        <v>736</v>
      </c>
      <c r="J60" s="19" t="s">
        <v>1349</v>
      </c>
    </row>
    <row r="61" customFormat="false" ht="18" hidden="false" customHeight="true" outlineLevel="0" collapsed="false">
      <c r="A61" s="23" t="s">
        <v>430</v>
      </c>
      <c r="B61" s="23"/>
      <c r="C61" s="23"/>
      <c r="D61" s="23"/>
      <c r="E61" s="23"/>
      <c r="F61" s="23"/>
      <c r="G61" s="23"/>
      <c r="H61" s="24" t="n">
        <f aca="false">SUM(H6:H60)</f>
        <v>0</v>
      </c>
      <c r="I61" s="23"/>
      <c r="J61" s="23"/>
    </row>
    <row r="62" customFormat="false" ht="15.75" hidden="false" customHeight="true" outlineLevel="0" collapsed="false"/>
    <row r="63" customFormat="false" ht="15.75" hidden="false" customHeight="true" outlineLevel="0" collapsed="false">
      <c r="A63" s="25" t="s">
        <v>1429</v>
      </c>
      <c r="B63" s="25"/>
      <c r="C63" s="25"/>
      <c r="D63" s="25"/>
      <c r="E63" s="25"/>
      <c r="F63" s="25"/>
      <c r="G63" s="25"/>
      <c r="H63" s="25"/>
      <c r="I63" s="25"/>
      <c r="J63" s="25"/>
    </row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2">
    <mergeCell ref="A1:K1"/>
    <mergeCell ref="A2:K2"/>
    <mergeCell ref="A3:K3"/>
    <mergeCell ref="A6:J6"/>
    <mergeCell ref="A14:J14"/>
    <mergeCell ref="A22:J22"/>
    <mergeCell ref="A27:J27"/>
    <mergeCell ref="A34:J34"/>
    <mergeCell ref="A41:J41"/>
    <mergeCell ref="A49:J49"/>
    <mergeCell ref="A57:J57"/>
    <mergeCell ref="A63:J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30"/>
    <col collapsed="false" customWidth="true" hidden="false" outlineLevel="0" max="12" min="4" style="1" width="18"/>
    <col collapsed="false" customWidth="true" hidden="false" outlineLevel="0" max="26" min="13" style="1" width="8.71"/>
  </cols>
  <sheetData>
    <row r="1" customFormat="false" ht="27.75" hidden="false" customHeight="true" outlineLevel="0" collapsed="false">
      <c r="A1" s="10" t="s">
        <v>1430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0" hidden="false" customHeight="true" outlineLevel="0" collapsed="false">
      <c r="A2" s="38" t="s">
        <v>1431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1005</v>
      </c>
      <c r="B5" s="13" t="s">
        <v>434</v>
      </c>
      <c r="C5" s="13" t="s">
        <v>1006</v>
      </c>
      <c r="D5" s="13" t="s">
        <v>1432</v>
      </c>
      <c r="E5" s="13" t="s">
        <v>1433</v>
      </c>
      <c r="F5" s="13" t="s">
        <v>1434</v>
      </c>
      <c r="G5" s="13" t="s">
        <v>1435</v>
      </c>
      <c r="H5" s="13" t="s">
        <v>440</v>
      </c>
      <c r="I5" s="13" t="s">
        <v>1436</v>
      </c>
      <c r="J5" s="13" t="s">
        <v>97</v>
      </c>
      <c r="K5" s="13" t="s">
        <v>98</v>
      </c>
    </row>
    <row r="6" customFormat="false" ht="18" hidden="false" customHeight="true" outlineLevel="0" collapsed="false">
      <c r="A6" s="14" t="s">
        <v>1437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customFormat="false" ht="19.5" hidden="false" customHeight="true" outlineLevel="0" collapsed="false">
      <c r="A7" s="15" t="s">
        <v>1438</v>
      </c>
      <c r="B7" s="15" t="s">
        <v>1439</v>
      </c>
      <c r="C7" s="15" t="s">
        <v>1440</v>
      </c>
      <c r="D7" s="15" t="n">
        <v>0.000716</v>
      </c>
      <c r="E7" s="15" t="n">
        <v>0</v>
      </c>
      <c r="F7" s="16"/>
      <c r="G7" s="16"/>
      <c r="H7" s="17" t="n">
        <f aca="false">IFERROR(F7*D7+G7*E7,0)</f>
        <v>0</v>
      </c>
      <c r="I7" s="18" t="s">
        <v>1441</v>
      </c>
      <c r="J7" s="18" t="s">
        <v>1017</v>
      </c>
      <c r="K7" s="18" t="s">
        <v>1442</v>
      </c>
    </row>
    <row r="8" customFormat="false" ht="19.5" hidden="false" customHeight="true" outlineLevel="0" collapsed="false">
      <c r="A8" s="20" t="s">
        <v>1438</v>
      </c>
      <c r="B8" s="20" t="s">
        <v>1443</v>
      </c>
      <c r="C8" s="20" t="s">
        <v>1444</v>
      </c>
      <c r="D8" s="20" t="n">
        <v>0.000716</v>
      </c>
      <c r="E8" s="20" t="n">
        <v>0</v>
      </c>
      <c r="F8" s="16"/>
      <c r="G8" s="16"/>
      <c r="H8" s="17" t="n">
        <f aca="false">IFERROR(F8*D8+G8*E8,0)</f>
        <v>0</v>
      </c>
      <c r="I8" s="21" t="s">
        <v>1441</v>
      </c>
      <c r="J8" s="21" t="s">
        <v>1017</v>
      </c>
      <c r="K8" s="21" t="s">
        <v>1442</v>
      </c>
    </row>
    <row r="9" customFormat="false" ht="19.5" hidden="false" customHeight="true" outlineLevel="0" collapsed="false">
      <c r="A9" s="15" t="s">
        <v>1438</v>
      </c>
      <c r="B9" s="15" t="s">
        <v>1445</v>
      </c>
      <c r="C9" s="15" t="s">
        <v>1446</v>
      </c>
      <c r="D9" s="15" t="n">
        <v>0.000716</v>
      </c>
      <c r="E9" s="15" t="n">
        <v>0</v>
      </c>
      <c r="F9" s="16"/>
      <c r="G9" s="16"/>
      <c r="H9" s="17" t="n">
        <f aca="false">IFERROR(F9*D9+G9*E9,0)</f>
        <v>0</v>
      </c>
      <c r="I9" s="18" t="s">
        <v>1441</v>
      </c>
      <c r="J9" s="18" t="s">
        <v>1017</v>
      </c>
      <c r="K9" s="18" t="s">
        <v>1442</v>
      </c>
    </row>
    <row r="10" customFormat="false" ht="19.5" hidden="false" customHeight="true" outlineLevel="0" collapsed="false">
      <c r="A10" s="20" t="s">
        <v>1438</v>
      </c>
      <c r="B10" s="20" t="s">
        <v>1447</v>
      </c>
      <c r="C10" s="20" t="s">
        <v>1448</v>
      </c>
      <c r="D10" s="20" t="n">
        <v>0.000716</v>
      </c>
      <c r="E10" s="20" t="n">
        <v>0</v>
      </c>
      <c r="F10" s="16"/>
      <c r="G10" s="16"/>
      <c r="H10" s="17" t="n">
        <f aca="false">IFERROR(F10*D10+G10*E10,0)</f>
        <v>0</v>
      </c>
      <c r="I10" s="21" t="s">
        <v>1441</v>
      </c>
      <c r="J10" s="21" t="s">
        <v>1017</v>
      </c>
      <c r="K10" s="21" t="s">
        <v>1442</v>
      </c>
    </row>
    <row r="11" customFormat="false" ht="19.5" hidden="false" customHeight="true" outlineLevel="0" collapsed="false">
      <c r="A11" s="15" t="s">
        <v>1438</v>
      </c>
      <c r="B11" s="15" t="s">
        <v>1449</v>
      </c>
      <c r="C11" s="15" t="s">
        <v>1450</v>
      </c>
      <c r="D11" s="15" t="n">
        <v>0.000716</v>
      </c>
      <c r="E11" s="15" t="n">
        <v>0</v>
      </c>
      <c r="F11" s="16"/>
      <c r="G11" s="16"/>
      <c r="H11" s="17" t="n">
        <f aca="false">IFERROR(F11*D11+G11*E11,0)</f>
        <v>0</v>
      </c>
      <c r="I11" s="18" t="s">
        <v>1441</v>
      </c>
      <c r="J11" s="18" t="s">
        <v>1017</v>
      </c>
      <c r="K11" s="18" t="s">
        <v>1442</v>
      </c>
    </row>
    <row r="12" customFormat="false" ht="19.5" hidden="false" customHeight="true" outlineLevel="0" collapsed="false">
      <c r="A12" s="20" t="s">
        <v>1438</v>
      </c>
      <c r="B12" s="20" t="s">
        <v>1451</v>
      </c>
      <c r="C12" s="20" t="s">
        <v>1452</v>
      </c>
      <c r="D12" s="20" t="n">
        <v>0.000716</v>
      </c>
      <c r="E12" s="20" t="n">
        <v>0</v>
      </c>
      <c r="F12" s="16"/>
      <c r="G12" s="16"/>
      <c r="H12" s="17" t="n">
        <f aca="false">IFERROR(F12*D12+G12*E12,0)</f>
        <v>0</v>
      </c>
      <c r="I12" s="21" t="s">
        <v>1441</v>
      </c>
      <c r="J12" s="21" t="s">
        <v>1017</v>
      </c>
      <c r="K12" s="21" t="s">
        <v>1442</v>
      </c>
    </row>
    <row r="13" customFormat="false" ht="19.5" hidden="false" customHeight="true" outlineLevel="0" collapsed="false">
      <c r="A13" s="15" t="s">
        <v>1438</v>
      </c>
      <c r="B13" s="15" t="s">
        <v>1453</v>
      </c>
      <c r="C13" s="15" t="s">
        <v>1454</v>
      </c>
      <c r="D13" s="15" t="n">
        <v>0.000716</v>
      </c>
      <c r="E13" s="15" t="n">
        <v>0</v>
      </c>
      <c r="F13" s="16"/>
      <c r="G13" s="16"/>
      <c r="H13" s="17" t="n">
        <f aca="false">IFERROR(F13*D13+G13*E13,0)</f>
        <v>0</v>
      </c>
      <c r="I13" s="18" t="s">
        <v>1441</v>
      </c>
      <c r="J13" s="18" t="s">
        <v>1017</v>
      </c>
      <c r="K13" s="18" t="s">
        <v>1442</v>
      </c>
    </row>
    <row r="14" customFormat="false" ht="18" hidden="false" customHeight="true" outlineLevel="0" collapsed="false">
      <c r="A14" s="14" t="s">
        <v>1455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customFormat="false" ht="19.5" hidden="false" customHeight="true" outlineLevel="0" collapsed="false">
      <c r="A15" s="15" t="s">
        <v>1028</v>
      </c>
      <c r="B15" s="15" t="s">
        <v>1456</v>
      </c>
      <c r="C15" s="15" t="s">
        <v>1457</v>
      </c>
      <c r="D15" s="15" t="n">
        <v>0.000716</v>
      </c>
      <c r="E15" s="15" t="n">
        <v>0</v>
      </c>
      <c r="F15" s="16"/>
      <c r="G15" s="16"/>
      <c r="H15" s="17" t="n">
        <f aca="false">IFERROR(F15*D15+G15*E15,0)</f>
        <v>0</v>
      </c>
      <c r="I15" s="18" t="s">
        <v>1441</v>
      </c>
      <c r="J15" s="18" t="s">
        <v>1017</v>
      </c>
      <c r="K15" s="18" t="s">
        <v>1442</v>
      </c>
    </row>
    <row r="16" customFormat="false" ht="19.5" hidden="false" customHeight="true" outlineLevel="0" collapsed="false">
      <c r="A16" s="20" t="s">
        <v>1028</v>
      </c>
      <c r="B16" s="20" t="s">
        <v>1458</v>
      </c>
      <c r="C16" s="20" t="s">
        <v>1459</v>
      </c>
      <c r="D16" s="20" t="n">
        <v>0.000716</v>
      </c>
      <c r="E16" s="20" t="n">
        <v>0</v>
      </c>
      <c r="F16" s="16"/>
      <c r="G16" s="16"/>
      <c r="H16" s="17" t="n">
        <f aca="false">IFERROR(F16*D16+G16*E16,0)</f>
        <v>0</v>
      </c>
      <c r="I16" s="21" t="s">
        <v>1441</v>
      </c>
      <c r="J16" s="21" t="s">
        <v>1017</v>
      </c>
      <c r="K16" s="21" t="s">
        <v>1442</v>
      </c>
    </row>
    <row r="17" customFormat="false" ht="19.5" hidden="false" customHeight="true" outlineLevel="0" collapsed="false">
      <c r="A17" s="15" t="s">
        <v>1028</v>
      </c>
      <c r="B17" s="15" t="s">
        <v>1460</v>
      </c>
      <c r="C17" s="15" t="s">
        <v>1461</v>
      </c>
      <c r="D17" s="15" t="n">
        <v>0.000716</v>
      </c>
      <c r="E17" s="15" t="n">
        <v>0</v>
      </c>
      <c r="F17" s="16"/>
      <c r="G17" s="16"/>
      <c r="H17" s="17" t="n">
        <f aca="false">IFERROR(F17*D17+G17*E17,0)</f>
        <v>0</v>
      </c>
      <c r="I17" s="18" t="s">
        <v>1441</v>
      </c>
      <c r="J17" s="18" t="s">
        <v>1017</v>
      </c>
      <c r="K17" s="18" t="s">
        <v>1442</v>
      </c>
    </row>
    <row r="18" customFormat="false" ht="19.5" hidden="false" customHeight="true" outlineLevel="0" collapsed="false">
      <c r="A18" s="20" t="s">
        <v>1028</v>
      </c>
      <c r="B18" s="20" t="s">
        <v>1462</v>
      </c>
      <c r="C18" s="20" t="s">
        <v>1463</v>
      </c>
      <c r="D18" s="20" t="n">
        <v>0.000716</v>
      </c>
      <c r="E18" s="20" t="n">
        <v>0</v>
      </c>
      <c r="F18" s="16"/>
      <c r="G18" s="16"/>
      <c r="H18" s="17" t="n">
        <f aca="false">IFERROR(F18*D18+G18*E18,0)</f>
        <v>0</v>
      </c>
      <c r="I18" s="21" t="s">
        <v>1441</v>
      </c>
      <c r="J18" s="21" t="s">
        <v>1017</v>
      </c>
      <c r="K18" s="21" t="s">
        <v>1442</v>
      </c>
    </row>
    <row r="19" customFormat="false" ht="19.5" hidden="false" customHeight="true" outlineLevel="0" collapsed="false">
      <c r="A19" s="15" t="s">
        <v>1028</v>
      </c>
      <c r="B19" s="15" t="s">
        <v>1464</v>
      </c>
      <c r="C19" s="15" t="s">
        <v>1465</v>
      </c>
      <c r="D19" s="15" t="n">
        <v>0.000716</v>
      </c>
      <c r="E19" s="15" t="n">
        <v>0</v>
      </c>
      <c r="F19" s="16"/>
      <c r="G19" s="16"/>
      <c r="H19" s="17" t="n">
        <f aca="false">IFERROR(F19*D19+G19*E19,0)</f>
        <v>0</v>
      </c>
      <c r="I19" s="18" t="s">
        <v>1441</v>
      </c>
      <c r="J19" s="18" t="s">
        <v>1017</v>
      </c>
      <c r="K19" s="18" t="s">
        <v>1442</v>
      </c>
    </row>
    <row r="20" customFormat="false" ht="18" hidden="false" customHeight="true" outlineLevel="0" collapsed="false">
      <c r="A20" s="14" t="s">
        <v>1466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customFormat="false" ht="19.5" hidden="false" customHeight="true" outlineLevel="0" collapsed="false">
      <c r="A21" s="15" t="s">
        <v>1034</v>
      </c>
      <c r="B21" s="15" t="s">
        <v>1467</v>
      </c>
      <c r="C21" s="15" t="s">
        <v>1468</v>
      </c>
      <c r="D21" s="15" t="n">
        <v>0</v>
      </c>
      <c r="E21" s="15" t="n">
        <v>0.00268</v>
      </c>
      <c r="F21" s="16"/>
      <c r="G21" s="16"/>
      <c r="H21" s="17" t="n">
        <f aca="false">IFERROR(F21*D21+G21*E21,0)</f>
        <v>0</v>
      </c>
      <c r="I21" s="18" t="s">
        <v>1441</v>
      </c>
      <c r="J21" s="18" t="s">
        <v>1017</v>
      </c>
      <c r="K21" s="18" t="s">
        <v>1442</v>
      </c>
    </row>
    <row r="22" customFormat="false" ht="19.5" hidden="false" customHeight="true" outlineLevel="0" collapsed="false">
      <c r="A22" s="20" t="s">
        <v>1034</v>
      </c>
      <c r="B22" s="20" t="s">
        <v>1469</v>
      </c>
      <c r="C22" s="20" t="s">
        <v>1470</v>
      </c>
      <c r="D22" s="20" t="n">
        <v>0</v>
      </c>
      <c r="E22" s="20" t="n">
        <v>0.0277</v>
      </c>
      <c r="F22" s="16"/>
      <c r="G22" s="16"/>
      <c r="H22" s="17" t="n">
        <f aca="false">IFERROR(F22*D22+G22*E22,0)</f>
        <v>0</v>
      </c>
      <c r="I22" s="21" t="s">
        <v>1441</v>
      </c>
      <c r="J22" s="21" t="s">
        <v>1017</v>
      </c>
      <c r="K22" s="21" t="s">
        <v>1442</v>
      </c>
    </row>
    <row r="23" customFormat="false" ht="19.5" hidden="false" customHeight="true" outlineLevel="0" collapsed="false">
      <c r="A23" s="15" t="s">
        <v>1034</v>
      </c>
      <c r="B23" s="15" t="s">
        <v>1471</v>
      </c>
      <c r="C23" s="15" t="s">
        <v>1472</v>
      </c>
      <c r="D23" s="15" t="n">
        <v>0</v>
      </c>
      <c r="E23" s="15" t="n">
        <v>0.00268</v>
      </c>
      <c r="F23" s="16"/>
      <c r="G23" s="16"/>
      <c r="H23" s="17" t="n">
        <f aca="false">IFERROR(F23*D23+G23*E23,0)</f>
        <v>0</v>
      </c>
      <c r="I23" s="18" t="s">
        <v>1441</v>
      </c>
      <c r="J23" s="18" t="s">
        <v>1017</v>
      </c>
      <c r="K23" s="18" t="s">
        <v>1442</v>
      </c>
    </row>
    <row r="24" customFormat="false" ht="19.5" hidden="false" customHeight="true" outlineLevel="0" collapsed="false">
      <c r="A24" s="20" t="s">
        <v>1034</v>
      </c>
      <c r="B24" s="20" t="s">
        <v>1473</v>
      </c>
      <c r="C24" s="20" t="s">
        <v>1472</v>
      </c>
      <c r="D24" s="20" t="n">
        <v>0</v>
      </c>
      <c r="E24" s="20" t="n">
        <v>0.00268</v>
      </c>
      <c r="F24" s="16"/>
      <c r="G24" s="16"/>
      <c r="H24" s="17" t="n">
        <f aca="false">IFERROR(F24*D24+G24*E24,0)</f>
        <v>0</v>
      </c>
      <c r="I24" s="21" t="s">
        <v>1441</v>
      </c>
      <c r="J24" s="21" t="s">
        <v>1017</v>
      </c>
      <c r="K24" s="21" t="s">
        <v>1442</v>
      </c>
    </row>
    <row r="25" customFormat="false" ht="19.5" hidden="false" customHeight="true" outlineLevel="0" collapsed="false">
      <c r="A25" s="15" t="s">
        <v>1034</v>
      </c>
      <c r="B25" s="15" t="s">
        <v>1474</v>
      </c>
      <c r="C25" s="15" t="s">
        <v>965</v>
      </c>
      <c r="D25" s="15" t="n">
        <v>0.000716</v>
      </c>
      <c r="E25" s="15" t="n">
        <v>0</v>
      </c>
      <c r="F25" s="16"/>
      <c r="G25" s="16"/>
      <c r="H25" s="17" t="n">
        <f aca="false">IFERROR(F25*D25+G25*E25,0)</f>
        <v>0</v>
      </c>
      <c r="I25" s="18" t="s">
        <v>1441</v>
      </c>
      <c r="J25" s="18" t="s">
        <v>1017</v>
      </c>
      <c r="K25" s="18" t="s">
        <v>1442</v>
      </c>
    </row>
    <row r="26" customFormat="false" ht="19.5" hidden="false" customHeight="true" outlineLevel="0" collapsed="false">
      <c r="A26" s="20" t="s">
        <v>1034</v>
      </c>
      <c r="B26" s="20" t="s">
        <v>1475</v>
      </c>
      <c r="C26" s="20" t="s">
        <v>965</v>
      </c>
      <c r="D26" s="20" t="n">
        <v>0.000716</v>
      </c>
      <c r="E26" s="20" t="n">
        <v>0</v>
      </c>
      <c r="F26" s="16"/>
      <c r="G26" s="16"/>
      <c r="H26" s="17" t="n">
        <f aca="false">IFERROR(F26*D26+G26*E26,0)</f>
        <v>0</v>
      </c>
      <c r="I26" s="21" t="s">
        <v>1441</v>
      </c>
      <c r="J26" s="21" t="s">
        <v>1017</v>
      </c>
      <c r="K26" s="21" t="s">
        <v>1442</v>
      </c>
    </row>
    <row r="27" customFormat="false" ht="19.5" hidden="false" customHeight="true" outlineLevel="0" collapsed="false">
      <c r="A27" s="15" t="s">
        <v>1034</v>
      </c>
      <c r="B27" s="15" t="s">
        <v>1476</v>
      </c>
      <c r="C27" s="15" t="s">
        <v>1477</v>
      </c>
      <c r="D27" s="15" t="n">
        <v>0</v>
      </c>
      <c r="E27" s="15" t="n">
        <v>0.00268</v>
      </c>
      <c r="F27" s="16"/>
      <c r="G27" s="16"/>
      <c r="H27" s="17" t="n">
        <f aca="false">IFERROR(F27*D27+G27*E27,0)</f>
        <v>0</v>
      </c>
      <c r="I27" s="18" t="s">
        <v>1441</v>
      </c>
      <c r="J27" s="18" t="s">
        <v>1017</v>
      </c>
      <c r="K27" s="18" t="s">
        <v>1442</v>
      </c>
    </row>
    <row r="28" customFormat="false" ht="18" hidden="false" customHeight="true" outlineLevel="0" collapsed="false">
      <c r="A28" s="14" t="s">
        <v>1478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customFormat="false" ht="19.5" hidden="false" customHeight="true" outlineLevel="0" collapsed="false">
      <c r="A29" s="15" t="s">
        <v>547</v>
      </c>
      <c r="B29" s="15" t="s">
        <v>1479</v>
      </c>
      <c r="C29" s="15" t="s">
        <v>1480</v>
      </c>
      <c r="D29" s="15" t="n">
        <v>0</v>
      </c>
      <c r="E29" s="15" t="n">
        <v>0.00231</v>
      </c>
      <c r="F29" s="16"/>
      <c r="G29" s="16"/>
      <c r="H29" s="17" t="n">
        <f aca="false">IFERROR(F29*D29+G29*E29,0)</f>
        <v>0</v>
      </c>
      <c r="I29" s="18" t="s">
        <v>1441</v>
      </c>
      <c r="J29" s="18" t="s">
        <v>1017</v>
      </c>
      <c r="K29" s="18" t="s">
        <v>1442</v>
      </c>
    </row>
    <row r="30" customFormat="false" ht="19.5" hidden="false" customHeight="true" outlineLevel="0" collapsed="false">
      <c r="A30" s="20" t="s">
        <v>547</v>
      </c>
      <c r="B30" s="20" t="s">
        <v>1481</v>
      </c>
      <c r="C30" s="20" t="s">
        <v>1482</v>
      </c>
      <c r="D30" s="20" t="n">
        <v>0.000716</v>
      </c>
      <c r="E30" s="20" t="n">
        <v>0</v>
      </c>
      <c r="F30" s="16"/>
      <c r="G30" s="16"/>
      <c r="H30" s="17" t="n">
        <f aca="false">IFERROR(F30*D30+G30*E30,0)</f>
        <v>0</v>
      </c>
      <c r="I30" s="21" t="s">
        <v>1441</v>
      </c>
      <c r="J30" s="21" t="s">
        <v>1017</v>
      </c>
      <c r="K30" s="21" t="s">
        <v>1442</v>
      </c>
    </row>
    <row r="31" customFormat="false" ht="19.5" hidden="false" customHeight="true" outlineLevel="0" collapsed="false">
      <c r="A31" s="15" t="s">
        <v>547</v>
      </c>
      <c r="B31" s="15" t="s">
        <v>1483</v>
      </c>
      <c r="C31" s="15" t="s">
        <v>1484</v>
      </c>
      <c r="D31" s="15" t="n">
        <v>0</v>
      </c>
      <c r="E31" s="15" t="n">
        <v>0.00251</v>
      </c>
      <c r="F31" s="16"/>
      <c r="G31" s="16"/>
      <c r="H31" s="17" t="n">
        <f aca="false">IFERROR(F31*D31+G31*E31,0)</f>
        <v>0</v>
      </c>
      <c r="I31" s="18" t="s">
        <v>1441</v>
      </c>
      <c r="J31" s="18" t="s">
        <v>1017</v>
      </c>
      <c r="K31" s="18" t="s">
        <v>1442</v>
      </c>
    </row>
    <row r="32" customFormat="false" ht="19.5" hidden="false" customHeight="true" outlineLevel="0" collapsed="false">
      <c r="A32" s="20" t="s">
        <v>547</v>
      </c>
      <c r="B32" s="20" t="s">
        <v>1485</v>
      </c>
      <c r="C32" s="20" t="s">
        <v>1486</v>
      </c>
      <c r="D32" s="20" t="n">
        <v>0</v>
      </c>
      <c r="E32" s="20" t="n">
        <v>0.00251</v>
      </c>
      <c r="F32" s="16"/>
      <c r="G32" s="16"/>
      <c r="H32" s="17" t="n">
        <f aca="false">IFERROR(F32*D32+G32*E32,0)</f>
        <v>0</v>
      </c>
      <c r="I32" s="21" t="s">
        <v>1441</v>
      </c>
      <c r="J32" s="21" t="s">
        <v>1017</v>
      </c>
      <c r="K32" s="21" t="s">
        <v>1442</v>
      </c>
    </row>
    <row r="33" customFormat="false" ht="19.5" hidden="false" customHeight="true" outlineLevel="0" collapsed="false">
      <c r="A33" s="15" t="s">
        <v>547</v>
      </c>
      <c r="B33" s="15" t="s">
        <v>1487</v>
      </c>
      <c r="C33" s="15" t="s">
        <v>1488</v>
      </c>
      <c r="D33" s="15" t="n">
        <v>0</v>
      </c>
      <c r="E33" s="15" t="n">
        <v>0.00251</v>
      </c>
      <c r="F33" s="16"/>
      <c r="G33" s="16"/>
      <c r="H33" s="17" t="n">
        <f aca="false">IFERROR(F33*D33+G33*E33,0)</f>
        <v>0</v>
      </c>
      <c r="I33" s="18" t="s">
        <v>1441</v>
      </c>
      <c r="J33" s="18" t="s">
        <v>1017</v>
      </c>
      <c r="K33" s="18" t="s">
        <v>1442</v>
      </c>
    </row>
    <row r="34" customFormat="false" ht="19.5" hidden="false" customHeight="true" outlineLevel="0" collapsed="false">
      <c r="A34" s="20" t="s">
        <v>547</v>
      </c>
      <c r="B34" s="20" t="s">
        <v>1489</v>
      </c>
      <c r="C34" s="20" t="s">
        <v>1490</v>
      </c>
      <c r="D34" s="20" t="n">
        <v>0</v>
      </c>
      <c r="E34" s="20" t="n">
        <v>0.00251</v>
      </c>
      <c r="F34" s="16"/>
      <c r="G34" s="16"/>
      <c r="H34" s="17" t="n">
        <f aca="false">IFERROR(F34*D34+G34*E34,0)</f>
        <v>0</v>
      </c>
      <c r="I34" s="21" t="s">
        <v>1441</v>
      </c>
      <c r="J34" s="21" t="s">
        <v>1017</v>
      </c>
      <c r="K34" s="21" t="s">
        <v>1442</v>
      </c>
    </row>
    <row r="35" customFormat="false" ht="19.5" hidden="false" customHeight="true" outlineLevel="0" collapsed="false">
      <c r="A35" s="15" t="s">
        <v>547</v>
      </c>
      <c r="B35" s="15" t="s">
        <v>1491</v>
      </c>
      <c r="C35" s="15" t="s">
        <v>1492</v>
      </c>
      <c r="D35" s="15" t="n">
        <v>0</v>
      </c>
      <c r="E35" s="15" t="n">
        <v>0.00231</v>
      </c>
      <c r="F35" s="16"/>
      <c r="G35" s="16"/>
      <c r="H35" s="17" t="n">
        <f aca="false">IFERROR(F35*D35+G35*E35,0)</f>
        <v>0</v>
      </c>
      <c r="I35" s="18" t="s">
        <v>1441</v>
      </c>
      <c r="J35" s="18" t="s">
        <v>1017</v>
      </c>
      <c r="K35" s="18" t="s">
        <v>1442</v>
      </c>
    </row>
    <row r="36" customFormat="false" ht="18" hidden="false" customHeight="true" outlineLevel="0" collapsed="false">
      <c r="A36" s="14" t="s">
        <v>1493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customFormat="false" ht="19.5" hidden="false" customHeight="true" outlineLevel="0" collapsed="false">
      <c r="A37" s="15" t="s">
        <v>174</v>
      </c>
      <c r="B37" s="15" t="s">
        <v>1494</v>
      </c>
      <c r="C37" s="15" t="s">
        <v>1495</v>
      </c>
      <c r="D37" s="15" t="n">
        <v>0</v>
      </c>
      <c r="E37" s="15" t="n">
        <v>0.00268</v>
      </c>
      <c r="F37" s="16"/>
      <c r="G37" s="16"/>
      <c r="H37" s="17" t="n">
        <f aca="false">IFERROR(F37*D37+G37*E37,0)</f>
        <v>0</v>
      </c>
      <c r="I37" s="18" t="s">
        <v>1441</v>
      </c>
      <c r="J37" s="18" t="s">
        <v>1017</v>
      </c>
      <c r="K37" s="18" t="s">
        <v>1442</v>
      </c>
    </row>
    <row r="38" customFormat="false" ht="19.5" hidden="false" customHeight="true" outlineLevel="0" collapsed="false">
      <c r="A38" s="20" t="s">
        <v>174</v>
      </c>
      <c r="B38" s="20" t="s">
        <v>568</v>
      </c>
      <c r="C38" s="20" t="s">
        <v>1495</v>
      </c>
      <c r="D38" s="20" t="n">
        <v>0</v>
      </c>
      <c r="E38" s="20" t="n">
        <v>0.00268</v>
      </c>
      <c r="F38" s="16"/>
      <c r="G38" s="16"/>
      <c r="H38" s="17" t="n">
        <f aca="false">IFERROR(F38*D38+G38*E38,0)</f>
        <v>0</v>
      </c>
      <c r="I38" s="21" t="s">
        <v>1441</v>
      </c>
      <c r="J38" s="21" t="s">
        <v>1017</v>
      </c>
      <c r="K38" s="21" t="s">
        <v>1442</v>
      </c>
    </row>
    <row r="39" customFormat="false" ht="19.5" hidden="false" customHeight="true" outlineLevel="0" collapsed="false">
      <c r="A39" s="15" t="s">
        <v>174</v>
      </c>
      <c r="B39" s="15" t="s">
        <v>1496</v>
      </c>
      <c r="C39" s="15" t="s">
        <v>1497</v>
      </c>
      <c r="D39" s="15" t="n">
        <v>0.000716</v>
      </c>
      <c r="E39" s="15" t="n">
        <v>0</v>
      </c>
      <c r="F39" s="16"/>
      <c r="G39" s="16"/>
      <c r="H39" s="17" t="n">
        <f aca="false">IFERROR(F39*D39+G39*E39,0)</f>
        <v>0</v>
      </c>
      <c r="I39" s="18" t="s">
        <v>1441</v>
      </c>
      <c r="J39" s="18" t="s">
        <v>1017</v>
      </c>
      <c r="K39" s="18" t="s">
        <v>1442</v>
      </c>
    </row>
    <row r="40" customFormat="false" ht="19.5" hidden="false" customHeight="true" outlineLevel="0" collapsed="false">
      <c r="A40" s="20" t="s">
        <v>174</v>
      </c>
      <c r="B40" s="20" t="s">
        <v>1498</v>
      </c>
      <c r="C40" s="20" t="s">
        <v>1499</v>
      </c>
      <c r="D40" s="20" t="n">
        <v>0.000716</v>
      </c>
      <c r="E40" s="20" t="n">
        <v>0</v>
      </c>
      <c r="F40" s="16"/>
      <c r="G40" s="16"/>
      <c r="H40" s="17" t="n">
        <f aca="false">IFERROR(F40*D40+G40*E40,0)</f>
        <v>0</v>
      </c>
      <c r="I40" s="21" t="s">
        <v>1441</v>
      </c>
      <c r="J40" s="21" t="s">
        <v>1017</v>
      </c>
      <c r="K40" s="21" t="s">
        <v>1442</v>
      </c>
    </row>
    <row r="41" customFormat="false" ht="18" hidden="false" customHeight="true" outlineLevel="0" collapsed="false">
      <c r="A41" s="14" t="s">
        <v>1500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customFormat="false" ht="19.5" hidden="false" customHeight="true" outlineLevel="0" collapsed="false">
      <c r="A42" s="15" t="s">
        <v>537</v>
      </c>
      <c r="B42" s="15" t="s">
        <v>1501</v>
      </c>
      <c r="C42" s="15" t="s">
        <v>965</v>
      </c>
      <c r="D42" s="15" t="n">
        <v>0.000716</v>
      </c>
      <c r="E42" s="15" t="n">
        <v>0</v>
      </c>
      <c r="F42" s="16"/>
      <c r="G42" s="16"/>
      <c r="H42" s="17" t="n">
        <f aca="false">IFERROR(F42*D42+G42*E42,0)</f>
        <v>0</v>
      </c>
      <c r="I42" s="18" t="s">
        <v>1441</v>
      </c>
      <c r="J42" s="18" t="s">
        <v>1017</v>
      </c>
      <c r="K42" s="18" t="s">
        <v>1442</v>
      </c>
    </row>
    <row r="43" customFormat="false" ht="19.5" hidden="false" customHeight="true" outlineLevel="0" collapsed="false">
      <c r="A43" s="20" t="s">
        <v>537</v>
      </c>
      <c r="B43" s="20" t="s">
        <v>1502</v>
      </c>
      <c r="C43" s="20" t="s">
        <v>1503</v>
      </c>
      <c r="D43" s="20" t="n">
        <v>0.000716</v>
      </c>
      <c r="E43" s="20" t="n">
        <v>0</v>
      </c>
      <c r="F43" s="16"/>
      <c r="G43" s="16"/>
      <c r="H43" s="17" t="n">
        <f aca="false">IFERROR(F43*D43+G43*E43,0)</f>
        <v>0</v>
      </c>
      <c r="I43" s="21" t="s">
        <v>1441</v>
      </c>
      <c r="J43" s="21" t="s">
        <v>1017</v>
      </c>
      <c r="K43" s="21" t="s">
        <v>1442</v>
      </c>
    </row>
    <row r="44" customFormat="false" ht="19.5" hidden="false" customHeight="true" outlineLevel="0" collapsed="false">
      <c r="A44" s="15" t="s">
        <v>537</v>
      </c>
      <c r="B44" s="15" t="s">
        <v>1504</v>
      </c>
      <c r="C44" s="15" t="s">
        <v>1505</v>
      </c>
      <c r="D44" s="15" t="n">
        <v>0.000716</v>
      </c>
      <c r="E44" s="15" t="n">
        <v>0.00268</v>
      </c>
      <c r="F44" s="16"/>
      <c r="G44" s="16"/>
      <c r="H44" s="17" t="n">
        <f aca="false">IFERROR(F44*D44+G44*E44,0)</f>
        <v>0</v>
      </c>
      <c r="I44" s="18" t="s">
        <v>1441</v>
      </c>
      <c r="J44" s="18" t="s">
        <v>1017</v>
      </c>
      <c r="K44" s="18" t="s">
        <v>1442</v>
      </c>
    </row>
    <row r="45" customFormat="false" ht="18" hidden="false" customHeight="true" outlineLevel="0" collapsed="false">
      <c r="A45" s="23" t="s">
        <v>430</v>
      </c>
      <c r="B45" s="23"/>
      <c r="C45" s="23"/>
      <c r="D45" s="23"/>
      <c r="E45" s="23"/>
      <c r="F45" s="23"/>
      <c r="G45" s="23"/>
      <c r="H45" s="24" t="n">
        <f aca="false">SUM(H6:H44)</f>
        <v>0</v>
      </c>
      <c r="I45" s="23"/>
      <c r="J45" s="23"/>
      <c r="K45" s="23"/>
    </row>
    <row r="46" customFormat="false" ht="15.75" hidden="false" customHeight="true" outlineLevel="0" collapsed="false"/>
    <row r="47" customFormat="false" ht="15.75" hidden="false" customHeight="true" outlineLevel="0" collapsed="false">
      <c r="A47" s="25" t="s">
        <v>1506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A1:L1"/>
    <mergeCell ref="A2:L2"/>
    <mergeCell ref="A3:L3"/>
    <mergeCell ref="A6:K6"/>
    <mergeCell ref="A14:K14"/>
    <mergeCell ref="A20:K20"/>
    <mergeCell ref="A28:K28"/>
    <mergeCell ref="A36:K36"/>
    <mergeCell ref="A41:K41"/>
    <mergeCell ref="A47:K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4" min="1" style="1" width="18"/>
    <col collapsed="false" customWidth="true" hidden="false" outlineLevel="0" max="12" min="5" style="1" width="14"/>
    <col collapsed="false" customWidth="true" hidden="false" outlineLevel="0" max="26" min="13" style="1" width="8.71"/>
  </cols>
  <sheetData>
    <row r="1" customFormat="false" ht="27.75" hidden="false" customHeight="true" outlineLevel="0" collapsed="false">
      <c r="A1" s="10" t="s">
        <v>1507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0" hidden="false" customHeight="true" outlineLevel="0" collapsed="false">
      <c r="A2" s="38" t="s">
        <v>1508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1509</v>
      </c>
      <c r="B5" s="13" t="s">
        <v>1510</v>
      </c>
      <c r="C5" s="13" t="s">
        <v>1511</v>
      </c>
      <c r="D5" s="13" t="s">
        <v>1512</v>
      </c>
      <c r="E5" s="13" t="s">
        <v>1513</v>
      </c>
      <c r="F5" s="13" t="s">
        <v>1514</v>
      </c>
      <c r="G5" s="13" t="s">
        <v>1515</v>
      </c>
      <c r="H5" s="13" t="s">
        <v>1516</v>
      </c>
      <c r="I5" s="13" t="s">
        <v>440</v>
      </c>
      <c r="J5" s="13" t="s">
        <v>97</v>
      </c>
      <c r="K5" s="13" t="s">
        <v>98</v>
      </c>
    </row>
    <row r="6" customFormat="false" ht="18" hidden="false" customHeight="true" outlineLevel="0" collapsed="false">
      <c r="A6" s="14" t="s">
        <v>1517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customFormat="false" ht="19.5" hidden="false" customHeight="true" outlineLevel="0" collapsed="false">
      <c r="A7" s="15" t="s">
        <v>1518</v>
      </c>
      <c r="B7" s="15" t="s">
        <v>1519</v>
      </c>
      <c r="C7" s="15" t="s">
        <v>1520</v>
      </c>
      <c r="D7" s="15" t="n">
        <v>45000</v>
      </c>
      <c r="E7" s="15" t="n">
        <v>0.5</v>
      </c>
      <c r="F7" s="15" t="n">
        <v>0.000716</v>
      </c>
      <c r="G7" s="15" t="n">
        <v>0.0277</v>
      </c>
      <c r="H7" s="16"/>
      <c r="I7" s="17" t="n">
        <f aca="false">IFERROR(H7*(D7*F7+E7*G7),0)</f>
        <v>0</v>
      </c>
      <c r="J7" s="18" t="s">
        <v>1017</v>
      </c>
      <c r="K7" s="18" t="s">
        <v>1521</v>
      </c>
    </row>
    <row r="8" customFormat="false" ht="19.5" hidden="false" customHeight="true" outlineLevel="0" collapsed="false">
      <c r="A8" s="20" t="s">
        <v>1518</v>
      </c>
      <c r="B8" s="20" t="s">
        <v>1522</v>
      </c>
      <c r="C8" s="20" t="s">
        <v>1523</v>
      </c>
      <c r="D8" s="20" t="n">
        <v>28000</v>
      </c>
      <c r="E8" s="20" t="n">
        <v>0.3</v>
      </c>
      <c r="F8" s="20" t="n">
        <v>0.000716</v>
      </c>
      <c r="G8" s="20" t="n">
        <v>0.0277</v>
      </c>
      <c r="H8" s="16"/>
      <c r="I8" s="17" t="n">
        <f aca="false">IFERROR(H8*(D8*F8+E8*G8),0)</f>
        <v>0</v>
      </c>
      <c r="J8" s="21" t="s">
        <v>1017</v>
      </c>
      <c r="K8" s="21" t="s">
        <v>1521</v>
      </c>
    </row>
    <row r="9" customFormat="false" ht="19.5" hidden="false" customHeight="true" outlineLevel="0" collapsed="false">
      <c r="A9" s="15" t="s">
        <v>1518</v>
      </c>
      <c r="B9" s="15" t="s">
        <v>1524</v>
      </c>
      <c r="C9" s="15" t="s">
        <v>1525</v>
      </c>
      <c r="D9" s="15" t="n">
        <v>65000</v>
      </c>
      <c r="E9" s="15" t="n">
        <v>1.2</v>
      </c>
      <c r="F9" s="15" t="n">
        <v>0.000716</v>
      </c>
      <c r="G9" s="15" t="n">
        <v>0.0277</v>
      </c>
      <c r="H9" s="16"/>
      <c r="I9" s="17" t="n">
        <f aca="false">IFERROR(H9*(D9*F9+E9*G9),0)</f>
        <v>0</v>
      </c>
      <c r="J9" s="18" t="s">
        <v>1017</v>
      </c>
      <c r="K9" s="18" t="s">
        <v>1521</v>
      </c>
    </row>
    <row r="10" customFormat="false" ht="19.5" hidden="false" customHeight="true" outlineLevel="0" collapsed="false">
      <c r="A10" s="20" t="s">
        <v>1518</v>
      </c>
      <c r="B10" s="20" t="s">
        <v>1526</v>
      </c>
      <c r="C10" s="20" t="s">
        <v>1527</v>
      </c>
      <c r="D10" s="20" t="n">
        <v>85000</v>
      </c>
      <c r="E10" s="20" t="n">
        <v>2</v>
      </c>
      <c r="F10" s="20" t="n">
        <v>0.000716</v>
      </c>
      <c r="G10" s="20" t="n">
        <v>0.0277</v>
      </c>
      <c r="H10" s="16"/>
      <c r="I10" s="17" t="n">
        <f aca="false">IFERROR(H10*(D10*F10+E10*G10),0)</f>
        <v>0</v>
      </c>
      <c r="J10" s="21" t="s">
        <v>1017</v>
      </c>
      <c r="K10" s="21" t="s">
        <v>1521</v>
      </c>
    </row>
    <row r="11" customFormat="false" ht="19.5" hidden="false" customHeight="true" outlineLevel="0" collapsed="false">
      <c r="A11" s="15" t="s">
        <v>1518</v>
      </c>
      <c r="B11" s="15" t="s">
        <v>1528</v>
      </c>
      <c r="C11" s="15" t="s">
        <v>1529</v>
      </c>
      <c r="D11" s="15" t="n">
        <v>18000</v>
      </c>
      <c r="E11" s="15" t="n">
        <v>0.8</v>
      </c>
      <c r="F11" s="15" t="n">
        <v>0.000716</v>
      </c>
      <c r="G11" s="15" t="n">
        <v>0.0277</v>
      </c>
      <c r="H11" s="16"/>
      <c r="I11" s="17" t="n">
        <f aca="false">IFERROR(H11*(D11*F11+E11*G11),0)</f>
        <v>0</v>
      </c>
      <c r="J11" s="18" t="s">
        <v>1017</v>
      </c>
      <c r="K11" s="18" t="s">
        <v>1521</v>
      </c>
    </row>
    <row r="12" customFormat="false" ht="19.5" hidden="false" customHeight="true" outlineLevel="0" collapsed="false">
      <c r="A12" s="20" t="s">
        <v>1518</v>
      </c>
      <c r="B12" s="20" t="s">
        <v>1530</v>
      </c>
      <c r="C12" s="20" t="s">
        <v>1529</v>
      </c>
      <c r="D12" s="20" t="n">
        <v>35000</v>
      </c>
      <c r="E12" s="20" t="n">
        <v>0</v>
      </c>
      <c r="F12" s="20" t="n">
        <v>0.000716</v>
      </c>
      <c r="G12" s="20" t="n">
        <v>0</v>
      </c>
      <c r="H12" s="16"/>
      <c r="I12" s="17" t="n">
        <f aca="false">IFERROR(H12*(D12*F12+E12*G12),0)</f>
        <v>0</v>
      </c>
      <c r="J12" s="21" t="s">
        <v>1017</v>
      </c>
      <c r="K12" s="21" t="s">
        <v>1521</v>
      </c>
    </row>
    <row r="13" customFormat="false" ht="19.5" hidden="false" customHeight="true" outlineLevel="0" collapsed="false">
      <c r="A13" s="15" t="s">
        <v>1518</v>
      </c>
      <c r="B13" s="15" t="s">
        <v>1531</v>
      </c>
      <c r="C13" s="15" t="s">
        <v>1532</v>
      </c>
      <c r="D13" s="15" t="n">
        <v>22000</v>
      </c>
      <c r="E13" s="15" t="n">
        <v>1.5</v>
      </c>
      <c r="F13" s="15" t="n">
        <v>0.000716</v>
      </c>
      <c r="G13" s="15" t="n">
        <v>0.0277</v>
      </c>
      <c r="H13" s="16"/>
      <c r="I13" s="17" t="n">
        <f aca="false">IFERROR(H13*(D13*F13+E13*G13),0)</f>
        <v>0</v>
      </c>
      <c r="J13" s="18" t="s">
        <v>1017</v>
      </c>
      <c r="K13" s="18" t="s">
        <v>1521</v>
      </c>
    </row>
    <row r="14" customFormat="false" ht="19.5" hidden="false" customHeight="true" outlineLevel="0" collapsed="false">
      <c r="A14" s="20" t="s">
        <v>1518</v>
      </c>
      <c r="B14" s="20" t="s">
        <v>1533</v>
      </c>
      <c r="C14" s="20" t="s">
        <v>1534</v>
      </c>
      <c r="D14" s="20" t="n">
        <v>12000</v>
      </c>
      <c r="E14" s="20" t="n">
        <v>0</v>
      </c>
      <c r="F14" s="20" t="n">
        <v>0.000716</v>
      </c>
      <c r="G14" s="20" t="n">
        <v>0</v>
      </c>
      <c r="H14" s="16"/>
      <c r="I14" s="17" t="n">
        <f aca="false">IFERROR(H14*(D14*F14+E14*G14),0)</f>
        <v>0</v>
      </c>
      <c r="J14" s="21" t="s">
        <v>1017</v>
      </c>
      <c r="K14" s="21" t="s">
        <v>1521</v>
      </c>
    </row>
    <row r="15" customFormat="false" ht="18" hidden="false" customHeight="true" outlineLevel="0" collapsed="false">
      <c r="A15" s="14" t="s">
        <v>1535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9.5" hidden="false" customHeight="true" outlineLevel="0" collapsed="false">
      <c r="A16" s="15" t="s">
        <v>1536</v>
      </c>
      <c r="B16" s="15" t="s">
        <v>1537</v>
      </c>
      <c r="C16" s="15" t="s">
        <v>1538</v>
      </c>
      <c r="D16" s="15" t="n">
        <v>18000</v>
      </c>
      <c r="E16" s="15" t="n">
        <v>0</v>
      </c>
      <c r="F16" s="15" t="n">
        <v>0.000716</v>
      </c>
      <c r="G16" s="15" t="n">
        <v>0</v>
      </c>
      <c r="H16" s="16"/>
      <c r="I16" s="17" t="n">
        <f aca="false">IFERROR(H16*(D16*F16+E16*G16),0)</f>
        <v>0</v>
      </c>
      <c r="J16" s="18" t="s">
        <v>1017</v>
      </c>
      <c r="K16" s="18" t="s">
        <v>1521</v>
      </c>
    </row>
    <row r="17" customFormat="false" ht="19.5" hidden="false" customHeight="true" outlineLevel="0" collapsed="false">
      <c r="A17" s="20" t="s">
        <v>1536</v>
      </c>
      <c r="B17" s="20" t="s">
        <v>1539</v>
      </c>
      <c r="C17" s="20" t="s">
        <v>1540</v>
      </c>
      <c r="D17" s="20" t="n">
        <v>14000</v>
      </c>
      <c r="E17" s="20" t="n">
        <v>0</v>
      </c>
      <c r="F17" s="20" t="n">
        <v>0.000716</v>
      </c>
      <c r="G17" s="20" t="n">
        <v>0</v>
      </c>
      <c r="H17" s="16"/>
      <c r="I17" s="17" t="n">
        <f aca="false">IFERROR(H17*(D17*F17+E17*G17),0)</f>
        <v>0</v>
      </c>
      <c r="J17" s="21" t="s">
        <v>1017</v>
      </c>
      <c r="K17" s="21" t="s">
        <v>1521</v>
      </c>
    </row>
    <row r="18" customFormat="false" ht="19.5" hidden="false" customHeight="true" outlineLevel="0" collapsed="false">
      <c r="A18" s="15" t="s">
        <v>1536</v>
      </c>
      <c r="B18" s="15" t="s">
        <v>1541</v>
      </c>
      <c r="C18" s="15" t="s">
        <v>1542</v>
      </c>
      <c r="D18" s="15" t="n">
        <v>9500</v>
      </c>
      <c r="E18" s="15" t="n">
        <v>0</v>
      </c>
      <c r="F18" s="15" t="n">
        <v>0.000716</v>
      </c>
      <c r="G18" s="15" t="n">
        <v>0</v>
      </c>
      <c r="H18" s="16"/>
      <c r="I18" s="17" t="n">
        <f aca="false">IFERROR(H18*(D18*F18+E18*G18),0)</f>
        <v>0</v>
      </c>
      <c r="J18" s="18" t="s">
        <v>1017</v>
      </c>
      <c r="K18" s="18" t="s">
        <v>1521</v>
      </c>
    </row>
    <row r="19" customFormat="false" ht="19.5" hidden="false" customHeight="true" outlineLevel="0" collapsed="false">
      <c r="A19" s="20" t="s">
        <v>1536</v>
      </c>
      <c r="B19" s="20" t="s">
        <v>1543</v>
      </c>
      <c r="C19" s="20" t="s">
        <v>1544</v>
      </c>
      <c r="D19" s="20" t="n">
        <v>75000</v>
      </c>
      <c r="E19" s="20" t="n">
        <v>0</v>
      </c>
      <c r="F19" s="20" t="n">
        <v>0.000716</v>
      </c>
      <c r="G19" s="20" t="n">
        <v>0</v>
      </c>
      <c r="H19" s="16"/>
      <c r="I19" s="17" t="n">
        <f aca="false">IFERROR(H19*(D19*F19+E19*G19),0)</f>
        <v>0</v>
      </c>
      <c r="J19" s="21" t="s">
        <v>1017</v>
      </c>
      <c r="K19" s="21" t="s">
        <v>1521</v>
      </c>
    </row>
    <row r="20" customFormat="false" ht="19.5" hidden="false" customHeight="true" outlineLevel="0" collapsed="false">
      <c r="A20" s="15" t="s">
        <v>1536</v>
      </c>
      <c r="B20" s="15" t="s">
        <v>1545</v>
      </c>
      <c r="C20" s="15" t="s">
        <v>1540</v>
      </c>
      <c r="D20" s="15" t="n">
        <v>12000</v>
      </c>
      <c r="E20" s="15" t="n">
        <v>0</v>
      </c>
      <c r="F20" s="15" t="n">
        <v>0.000716</v>
      </c>
      <c r="G20" s="15" t="n">
        <v>0</v>
      </c>
      <c r="H20" s="16"/>
      <c r="I20" s="17" t="n">
        <f aca="false">IFERROR(H20*(D20*F20+E20*G20),0)</f>
        <v>0</v>
      </c>
      <c r="J20" s="18" t="s">
        <v>1017</v>
      </c>
      <c r="K20" s="18" t="s">
        <v>1521</v>
      </c>
    </row>
    <row r="21" customFormat="false" ht="19.5" hidden="false" customHeight="true" outlineLevel="0" collapsed="false">
      <c r="A21" s="20" t="s">
        <v>1536</v>
      </c>
      <c r="B21" s="20" t="s">
        <v>1546</v>
      </c>
      <c r="C21" s="20" t="s">
        <v>1547</v>
      </c>
      <c r="D21" s="20" t="n">
        <v>22000</v>
      </c>
      <c r="E21" s="20" t="n">
        <v>0</v>
      </c>
      <c r="F21" s="20" t="n">
        <v>0.000716</v>
      </c>
      <c r="G21" s="20" t="n">
        <v>0</v>
      </c>
      <c r="H21" s="16"/>
      <c r="I21" s="17" t="n">
        <f aca="false">IFERROR(H21*(D21*F21+E21*G21),0)</f>
        <v>0</v>
      </c>
      <c r="J21" s="21" t="s">
        <v>1017</v>
      </c>
      <c r="K21" s="21" t="s">
        <v>1521</v>
      </c>
    </row>
    <row r="22" customFormat="false" ht="19.5" hidden="false" customHeight="true" outlineLevel="0" collapsed="false">
      <c r="A22" s="15" t="s">
        <v>1536</v>
      </c>
      <c r="B22" s="15" t="s">
        <v>1548</v>
      </c>
      <c r="C22" s="15" t="s">
        <v>1549</v>
      </c>
      <c r="D22" s="15" t="n">
        <v>16000</v>
      </c>
      <c r="E22" s="15" t="n">
        <v>0</v>
      </c>
      <c r="F22" s="15" t="n">
        <v>0.000716</v>
      </c>
      <c r="G22" s="15" t="n">
        <v>0</v>
      </c>
      <c r="H22" s="16"/>
      <c r="I22" s="17" t="n">
        <f aca="false">IFERROR(H22*(D22*F22+E22*G22),0)</f>
        <v>0</v>
      </c>
      <c r="J22" s="18" t="s">
        <v>1017</v>
      </c>
      <c r="K22" s="18" t="s">
        <v>1521</v>
      </c>
    </row>
    <row r="23" customFormat="false" ht="19.5" hidden="false" customHeight="true" outlineLevel="0" collapsed="false">
      <c r="A23" s="20" t="s">
        <v>1536</v>
      </c>
      <c r="B23" s="20" t="s">
        <v>1550</v>
      </c>
      <c r="C23" s="20" t="s">
        <v>1551</v>
      </c>
      <c r="D23" s="20" t="n">
        <v>24000</v>
      </c>
      <c r="E23" s="20" t="n">
        <v>0.5</v>
      </c>
      <c r="F23" s="20" t="n">
        <v>0.000716</v>
      </c>
      <c r="G23" s="20" t="n">
        <v>0.0277</v>
      </c>
      <c r="H23" s="16"/>
      <c r="I23" s="17" t="n">
        <f aca="false">IFERROR(H23*(D23*F23+E23*G23),0)</f>
        <v>0</v>
      </c>
      <c r="J23" s="21" t="s">
        <v>1017</v>
      </c>
      <c r="K23" s="21" t="s">
        <v>1521</v>
      </c>
    </row>
    <row r="24" customFormat="false" ht="18" hidden="false" customHeight="true" outlineLevel="0" collapsed="false">
      <c r="A24" s="14" t="s">
        <v>1552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customFormat="false" ht="19.5" hidden="false" customHeight="true" outlineLevel="0" collapsed="false">
      <c r="A25" s="15" t="s">
        <v>1553</v>
      </c>
      <c r="B25" s="15" t="s">
        <v>1554</v>
      </c>
      <c r="C25" s="15" t="s">
        <v>1555</v>
      </c>
      <c r="D25" s="15" t="n">
        <v>85000</v>
      </c>
      <c r="E25" s="15" t="n">
        <v>0</v>
      </c>
      <c r="F25" s="15" t="n">
        <v>0.000716</v>
      </c>
      <c r="G25" s="15" t="n">
        <v>0</v>
      </c>
      <c r="H25" s="16"/>
      <c r="I25" s="17" t="n">
        <f aca="false">IFERROR(H25*(D25*F25+E25*G25),0)</f>
        <v>0</v>
      </c>
      <c r="J25" s="18" t="s">
        <v>1017</v>
      </c>
      <c r="K25" s="18" t="s">
        <v>1521</v>
      </c>
    </row>
    <row r="26" customFormat="false" ht="19.5" hidden="false" customHeight="true" outlineLevel="0" collapsed="false">
      <c r="A26" s="20" t="s">
        <v>1553</v>
      </c>
      <c r="B26" s="20" t="s">
        <v>1556</v>
      </c>
      <c r="C26" s="20" t="s">
        <v>1557</v>
      </c>
      <c r="D26" s="20" t="n">
        <v>180000</v>
      </c>
      <c r="E26" s="20" t="n">
        <v>0</v>
      </c>
      <c r="F26" s="20" t="n">
        <v>0.000716</v>
      </c>
      <c r="G26" s="20" t="n">
        <v>0</v>
      </c>
      <c r="H26" s="16"/>
      <c r="I26" s="17" t="n">
        <f aca="false">IFERROR(H26*(D26*F26+E26*G26),0)</f>
        <v>0</v>
      </c>
      <c r="J26" s="21" t="s">
        <v>1017</v>
      </c>
      <c r="K26" s="21" t="s">
        <v>1521</v>
      </c>
    </row>
    <row r="27" customFormat="false" ht="19.5" hidden="false" customHeight="true" outlineLevel="0" collapsed="false">
      <c r="A27" s="15" t="s">
        <v>1553</v>
      </c>
      <c r="B27" s="15" t="s">
        <v>1558</v>
      </c>
      <c r="C27" s="15" t="s">
        <v>1559</v>
      </c>
      <c r="D27" s="15" t="n">
        <v>420000</v>
      </c>
      <c r="E27" s="15" t="n">
        <v>0</v>
      </c>
      <c r="F27" s="15" t="n">
        <v>0.000716</v>
      </c>
      <c r="G27" s="15" t="n">
        <v>0</v>
      </c>
      <c r="H27" s="16"/>
      <c r="I27" s="17" t="n">
        <f aca="false">IFERROR(H27*(D27*F27+E27*G27),0)</f>
        <v>0</v>
      </c>
      <c r="J27" s="18" t="s">
        <v>1017</v>
      </c>
      <c r="K27" s="18" t="s">
        <v>1521</v>
      </c>
    </row>
    <row r="28" customFormat="false" ht="19.5" hidden="false" customHeight="true" outlineLevel="0" collapsed="false">
      <c r="A28" s="20" t="s">
        <v>1553</v>
      </c>
      <c r="B28" s="20" t="s">
        <v>1560</v>
      </c>
      <c r="C28" s="20" t="s">
        <v>1561</v>
      </c>
      <c r="D28" s="20" t="n">
        <v>65000</v>
      </c>
      <c r="E28" s="20" t="n">
        <v>0</v>
      </c>
      <c r="F28" s="20" t="n">
        <v>0.000716</v>
      </c>
      <c r="G28" s="20" t="n">
        <v>0</v>
      </c>
      <c r="H28" s="16"/>
      <c r="I28" s="17" t="n">
        <f aca="false">IFERROR(H28*(D28*F28+E28*G28),0)</f>
        <v>0</v>
      </c>
      <c r="J28" s="21" t="s">
        <v>1017</v>
      </c>
      <c r="K28" s="21" t="s">
        <v>1521</v>
      </c>
    </row>
    <row r="29" customFormat="false" ht="19.5" hidden="false" customHeight="true" outlineLevel="0" collapsed="false">
      <c r="A29" s="15" t="s">
        <v>1553</v>
      </c>
      <c r="B29" s="15" t="s">
        <v>1562</v>
      </c>
      <c r="C29" s="15" t="s">
        <v>1563</v>
      </c>
      <c r="D29" s="15" t="n">
        <v>15000</v>
      </c>
      <c r="E29" s="15" t="n">
        <v>0</v>
      </c>
      <c r="F29" s="15" t="n">
        <v>0.000716</v>
      </c>
      <c r="G29" s="15" t="n">
        <v>0</v>
      </c>
      <c r="H29" s="16"/>
      <c r="I29" s="17" t="n">
        <f aca="false">IFERROR(H29*(D29*F29+E29*G29),0)</f>
        <v>0</v>
      </c>
      <c r="J29" s="18" t="s">
        <v>1017</v>
      </c>
      <c r="K29" s="18" t="s">
        <v>1521</v>
      </c>
    </row>
    <row r="30" customFormat="false" ht="18" hidden="false" customHeight="true" outlineLevel="0" collapsed="false">
      <c r="A30" s="14" t="s">
        <v>1564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customFormat="false" ht="19.5" hidden="false" customHeight="true" outlineLevel="0" collapsed="false">
      <c r="A31" s="15" t="s">
        <v>1565</v>
      </c>
      <c r="B31" s="15" t="s">
        <v>1566</v>
      </c>
      <c r="C31" s="15" t="s">
        <v>1567</v>
      </c>
      <c r="D31" s="15" t="n">
        <v>12000</v>
      </c>
      <c r="E31" s="15" t="n">
        <v>0.8</v>
      </c>
      <c r="F31" s="15" t="n">
        <v>0.000716</v>
      </c>
      <c r="G31" s="15" t="n">
        <v>0.0277</v>
      </c>
      <c r="H31" s="16"/>
      <c r="I31" s="17" t="n">
        <f aca="false">IFERROR(H31*(D31*F31+E31*G31),0)</f>
        <v>0</v>
      </c>
      <c r="J31" s="18" t="s">
        <v>1017</v>
      </c>
      <c r="K31" s="18" t="s">
        <v>1521</v>
      </c>
    </row>
    <row r="32" customFormat="false" ht="19.5" hidden="false" customHeight="true" outlineLevel="0" collapsed="false">
      <c r="A32" s="20" t="s">
        <v>1565</v>
      </c>
      <c r="B32" s="20" t="s">
        <v>1568</v>
      </c>
      <c r="C32" s="20" t="s">
        <v>1569</v>
      </c>
      <c r="D32" s="20" t="n">
        <v>35000</v>
      </c>
      <c r="E32" s="20" t="n">
        <v>1.5</v>
      </c>
      <c r="F32" s="20" t="n">
        <v>0.000716</v>
      </c>
      <c r="G32" s="20" t="n">
        <v>0.0277</v>
      </c>
      <c r="H32" s="16"/>
      <c r="I32" s="17" t="n">
        <f aca="false">IFERROR(H32*(D32*F32+E32*G32),0)</f>
        <v>0</v>
      </c>
      <c r="J32" s="21" t="s">
        <v>1017</v>
      </c>
      <c r="K32" s="21" t="s">
        <v>1521</v>
      </c>
    </row>
    <row r="33" customFormat="false" ht="19.5" hidden="false" customHeight="true" outlineLevel="0" collapsed="false">
      <c r="A33" s="15" t="s">
        <v>1565</v>
      </c>
      <c r="B33" s="15" t="s">
        <v>1570</v>
      </c>
      <c r="C33" s="15" t="s">
        <v>1569</v>
      </c>
      <c r="D33" s="15" t="n">
        <v>18000</v>
      </c>
      <c r="E33" s="15" t="n">
        <v>0.5</v>
      </c>
      <c r="F33" s="15" t="n">
        <v>0.000716</v>
      </c>
      <c r="G33" s="15" t="n">
        <v>0.0277</v>
      </c>
      <c r="H33" s="16"/>
      <c r="I33" s="17" t="n">
        <f aca="false">IFERROR(H33*(D33*F33+E33*G33),0)</f>
        <v>0</v>
      </c>
      <c r="J33" s="18" t="s">
        <v>1017</v>
      </c>
      <c r="K33" s="18" t="s">
        <v>1521</v>
      </c>
    </row>
    <row r="34" customFormat="false" ht="19.5" hidden="false" customHeight="true" outlineLevel="0" collapsed="false">
      <c r="A34" s="20" t="s">
        <v>1565</v>
      </c>
      <c r="B34" s="20" t="s">
        <v>1571</v>
      </c>
      <c r="C34" s="20" t="s">
        <v>1572</v>
      </c>
      <c r="D34" s="20" t="n">
        <v>5000</v>
      </c>
      <c r="E34" s="20" t="n">
        <v>0</v>
      </c>
      <c r="F34" s="20" t="n">
        <v>0.000716</v>
      </c>
      <c r="G34" s="20" t="n">
        <v>0</v>
      </c>
      <c r="H34" s="16"/>
      <c r="I34" s="17" t="n">
        <f aca="false">IFERROR(H34*(D34*F34+E34*G34),0)</f>
        <v>0</v>
      </c>
      <c r="J34" s="21" t="s">
        <v>1017</v>
      </c>
      <c r="K34" s="21" t="s">
        <v>1521</v>
      </c>
    </row>
    <row r="35" customFormat="false" ht="19.5" hidden="false" customHeight="true" outlineLevel="0" collapsed="false">
      <c r="A35" s="15" t="s">
        <v>1565</v>
      </c>
      <c r="B35" s="15" t="s">
        <v>1573</v>
      </c>
      <c r="C35" s="15" t="s">
        <v>1574</v>
      </c>
      <c r="D35" s="15" t="n">
        <v>22000</v>
      </c>
      <c r="E35" s="15" t="n">
        <v>0</v>
      </c>
      <c r="F35" s="15" t="n">
        <v>0.000716</v>
      </c>
      <c r="G35" s="15" t="n">
        <v>0</v>
      </c>
      <c r="H35" s="16"/>
      <c r="I35" s="17" t="n">
        <f aca="false">IFERROR(H35*(D35*F35+E35*G35),0)</f>
        <v>0</v>
      </c>
      <c r="J35" s="18" t="s">
        <v>1017</v>
      </c>
      <c r="K35" s="18" t="s">
        <v>1521</v>
      </c>
    </row>
    <row r="36" customFormat="false" ht="18" hidden="false" customHeight="true" outlineLevel="0" collapsed="false">
      <c r="A36" s="14" t="s">
        <v>1575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customFormat="false" ht="19.5" hidden="false" customHeight="true" outlineLevel="0" collapsed="false">
      <c r="A37" s="15" t="s">
        <v>1576</v>
      </c>
      <c r="B37" s="15" t="s">
        <v>1577</v>
      </c>
      <c r="C37" s="15" t="s">
        <v>1578</v>
      </c>
      <c r="D37" s="15" t="n">
        <v>35000</v>
      </c>
      <c r="E37" s="15" t="n">
        <v>0.5</v>
      </c>
      <c r="F37" s="15" t="n">
        <v>0.000716</v>
      </c>
      <c r="G37" s="15" t="n">
        <v>0.0277</v>
      </c>
      <c r="H37" s="16"/>
      <c r="I37" s="17" t="n">
        <f aca="false">IFERROR(H37*(D37*F37+E37*G37),0)</f>
        <v>0</v>
      </c>
      <c r="J37" s="18" t="s">
        <v>1017</v>
      </c>
      <c r="K37" s="18" t="s">
        <v>1521</v>
      </c>
    </row>
    <row r="38" customFormat="false" ht="19.5" hidden="false" customHeight="true" outlineLevel="0" collapsed="false">
      <c r="A38" s="20" t="s">
        <v>1576</v>
      </c>
      <c r="B38" s="20" t="s">
        <v>1579</v>
      </c>
      <c r="C38" s="20" t="s">
        <v>1580</v>
      </c>
      <c r="D38" s="20" t="n">
        <v>12000</v>
      </c>
      <c r="E38" s="20" t="n">
        <v>0.2</v>
      </c>
      <c r="F38" s="20" t="n">
        <v>0.000716</v>
      </c>
      <c r="G38" s="20" t="n">
        <v>0.0277</v>
      </c>
      <c r="H38" s="16"/>
      <c r="I38" s="17" t="n">
        <f aca="false">IFERROR(H38*(D38*F38+E38*G38),0)</f>
        <v>0</v>
      </c>
      <c r="J38" s="21" t="s">
        <v>1017</v>
      </c>
      <c r="K38" s="21" t="s">
        <v>1521</v>
      </c>
    </row>
    <row r="39" customFormat="false" ht="19.5" hidden="false" customHeight="true" outlineLevel="0" collapsed="false">
      <c r="A39" s="15" t="s">
        <v>1576</v>
      </c>
      <c r="B39" s="15" t="s">
        <v>1581</v>
      </c>
      <c r="C39" s="15" t="s">
        <v>1582</v>
      </c>
      <c r="D39" s="15" t="n">
        <v>25000</v>
      </c>
      <c r="E39" s="15" t="n">
        <v>1.5</v>
      </c>
      <c r="F39" s="15" t="n">
        <v>0.000716</v>
      </c>
      <c r="G39" s="15" t="n">
        <v>0.0277</v>
      </c>
      <c r="H39" s="16"/>
      <c r="I39" s="17" t="n">
        <f aca="false">IFERROR(H39*(D39*F39+E39*G39),0)</f>
        <v>0</v>
      </c>
      <c r="J39" s="18" t="s">
        <v>1017</v>
      </c>
      <c r="K39" s="18" t="s">
        <v>1521</v>
      </c>
    </row>
    <row r="40" customFormat="false" ht="18" hidden="false" customHeight="true" outlineLevel="0" collapsed="false">
      <c r="A40" s="14" t="s">
        <v>1583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customFormat="false" ht="19.5" hidden="false" customHeight="true" outlineLevel="0" collapsed="false">
      <c r="A41" s="15" t="s">
        <v>1584</v>
      </c>
      <c r="B41" s="15" t="s">
        <v>1585</v>
      </c>
      <c r="C41" s="15" t="s">
        <v>1586</v>
      </c>
      <c r="D41" s="15" t="n">
        <v>42000</v>
      </c>
      <c r="E41" s="15" t="n">
        <v>0</v>
      </c>
      <c r="F41" s="15" t="n">
        <v>0.000716</v>
      </c>
      <c r="G41" s="15" t="n">
        <v>0</v>
      </c>
      <c r="H41" s="16"/>
      <c r="I41" s="17" t="n">
        <f aca="false">IFERROR(H41*(D41*F41+E41*G41),0)</f>
        <v>0</v>
      </c>
      <c r="J41" s="18" t="s">
        <v>1017</v>
      </c>
      <c r="K41" s="18" t="s">
        <v>1521</v>
      </c>
    </row>
    <row r="42" customFormat="false" ht="19.5" hidden="false" customHeight="true" outlineLevel="0" collapsed="false">
      <c r="A42" s="20" t="s">
        <v>1584</v>
      </c>
      <c r="B42" s="20" t="s">
        <v>1587</v>
      </c>
      <c r="C42" s="20" t="s">
        <v>1588</v>
      </c>
      <c r="D42" s="20" t="n">
        <v>12000</v>
      </c>
      <c r="E42" s="20" t="n">
        <v>0</v>
      </c>
      <c r="F42" s="20" t="n">
        <v>0.000716</v>
      </c>
      <c r="G42" s="20" t="n">
        <v>0</v>
      </c>
      <c r="H42" s="16"/>
      <c r="I42" s="17" t="n">
        <f aca="false">IFERROR(H42*(D42*F42+E42*G42),0)</f>
        <v>0</v>
      </c>
      <c r="J42" s="21" t="s">
        <v>1017</v>
      </c>
      <c r="K42" s="21" t="s">
        <v>1521</v>
      </c>
    </row>
    <row r="43" customFormat="false" ht="19.5" hidden="false" customHeight="true" outlineLevel="0" collapsed="false">
      <c r="A43" s="15" t="s">
        <v>1584</v>
      </c>
      <c r="B43" s="15" t="s">
        <v>1589</v>
      </c>
      <c r="C43" s="15" t="s">
        <v>1590</v>
      </c>
      <c r="D43" s="15" t="n">
        <v>28000</v>
      </c>
      <c r="E43" s="15" t="n">
        <v>0</v>
      </c>
      <c r="F43" s="15" t="n">
        <v>0.000716</v>
      </c>
      <c r="G43" s="15" t="n">
        <v>0</v>
      </c>
      <c r="H43" s="16"/>
      <c r="I43" s="17" t="n">
        <f aca="false">IFERROR(H43*(D43*F43+E43*G43),0)</f>
        <v>0</v>
      </c>
      <c r="J43" s="18" t="s">
        <v>1017</v>
      </c>
      <c r="K43" s="18" t="s">
        <v>1521</v>
      </c>
    </row>
    <row r="44" customFormat="false" ht="19.5" hidden="false" customHeight="true" outlineLevel="0" collapsed="false">
      <c r="A44" s="20" t="s">
        <v>1584</v>
      </c>
      <c r="B44" s="20" t="s">
        <v>1591</v>
      </c>
      <c r="C44" s="20" t="s">
        <v>1592</v>
      </c>
      <c r="D44" s="20" t="n">
        <v>18000</v>
      </c>
      <c r="E44" s="20" t="n">
        <v>0</v>
      </c>
      <c r="F44" s="20" t="n">
        <v>0.000716</v>
      </c>
      <c r="G44" s="20" t="n">
        <v>0</v>
      </c>
      <c r="H44" s="16"/>
      <c r="I44" s="17" t="n">
        <f aca="false">IFERROR(H44*(D44*F44+E44*G44),0)</f>
        <v>0</v>
      </c>
      <c r="J44" s="21" t="s">
        <v>1017</v>
      </c>
      <c r="K44" s="21" t="s">
        <v>1521</v>
      </c>
    </row>
    <row r="45" customFormat="false" ht="19.5" hidden="false" customHeight="true" outlineLevel="0" collapsed="false">
      <c r="A45" s="15" t="s">
        <v>1584</v>
      </c>
      <c r="B45" s="15" t="s">
        <v>1593</v>
      </c>
      <c r="C45" s="15" t="s">
        <v>1594</v>
      </c>
      <c r="D45" s="15" t="n">
        <v>8000</v>
      </c>
      <c r="E45" s="15" t="n">
        <v>0</v>
      </c>
      <c r="F45" s="15" t="n">
        <v>0.000716</v>
      </c>
      <c r="G45" s="15" t="n">
        <v>0</v>
      </c>
      <c r="H45" s="16"/>
      <c r="I45" s="17" t="n">
        <f aca="false">IFERROR(H45*(D45*F45+E45*G45),0)</f>
        <v>0</v>
      </c>
      <c r="J45" s="18" t="s">
        <v>1017</v>
      </c>
      <c r="K45" s="18" t="s">
        <v>1521</v>
      </c>
    </row>
    <row r="46" customFormat="false" ht="18" hidden="false" customHeight="true" outlineLevel="0" collapsed="false">
      <c r="A46" s="14" t="s">
        <v>1595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customFormat="false" ht="19.5" hidden="false" customHeight="true" outlineLevel="0" collapsed="false">
      <c r="A47" s="15" t="s">
        <v>1596</v>
      </c>
      <c r="B47" s="15" t="s">
        <v>1597</v>
      </c>
      <c r="C47" s="15" t="s">
        <v>1520</v>
      </c>
      <c r="D47" s="15" t="n">
        <v>8500</v>
      </c>
      <c r="E47" s="15" t="n">
        <v>0</v>
      </c>
      <c r="F47" s="15" t="n">
        <v>0.000716</v>
      </c>
      <c r="G47" s="15" t="n">
        <v>0</v>
      </c>
      <c r="H47" s="16"/>
      <c r="I47" s="17" t="n">
        <f aca="false">IFERROR(H47*(D47*F47+E47*G47),0)</f>
        <v>0</v>
      </c>
      <c r="J47" s="18" t="s">
        <v>1017</v>
      </c>
      <c r="K47" s="18" t="s">
        <v>1521</v>
      </c>
    </row>
    <row r="48" customFormat="false" ht="19.5" hidden="false" customHeight="true" outlineLevel="0" collapsed="false">
      <c r="A48" s="20" t="s">
        <v>1596</v>
      </c>
      <c r="B48" s="20" t="s">
        <v>1598</v>
      </c>
      <c r="C48" s="20" t="s">
        <v>1599</v>
      </c>
      <c r="D48" s="20" t="n">
        <v>12000</v>
      </c>
      <c r="E48" s="20" t="n">
        <v>0</v>
      </c>
      <c r="F48" s="20" t="n">
        <v>0.000716</v>
      </c>
      <c r="G48" s="20" t="n">
        <v>0</v>
      </c>
      <c r="H48" s="16"/>
      <c r="I48" s="17" t="n">
        <f aca="false">IFERROR(H48*(D48*F48+E48*G48),0)</f>
        <v>0</v>
      </c>
      <c r="J48" s="21" t="s">
        <v>1017</v>
      </c>
      <c r="K48" s="21" t="s">
        <v>1521</v>
      </c>
    </row>
    <row r="49" customFormat="false" ht="19.5" hidden="false" customHeight="true" outlineLevel="0" collapsed="false">
      <c r="A49" s="15" t="s">
        <v>368</v>
      </c>
      <c r="B49" s="15" t="s">
        <v>1600</v>
      </c>
      <c r="C49" s="15" t="s">
        <v>1601</v>
      </c>
      <c r="D49" s="15" t="n">
        <v>32000</v>
      </c>
      <c r="E49" s="15" t="n">
        <v>2</v>
      </c>
      <c r="F49" s="15" t="n">
        <v>0.000716</v>
      </c>
      <c r="G49" s="15" t="n">
        <v>0.0277</v>
      </c>
      <c r="H49" s="16"/>
      <c r="I49" s="17" t="n">
        <f aca="false">IFERROR(H49*(D49*F49+E49*G49),0)</f>
        <v>0</v>
      </c>
      <c r="J49" s="18" t="s">
        <v>1017</v>
      </c>
      <c r="K49" s="18" t="s">
        <v>1521</v>
      </c>
    </row>
    <row r="50" customFormat="false" ht="19.5" hidden="false" customHeight="true" outlineLevel="0" collapsed="false">
      <c r="A50" s="20" t="s">
        <v>368</v>
      </c>
      <c r="B50" s="20" t="s">
        <v>1602</v>
      </c>
      <c r="C50" s="20" t="s">
        <v>1603</v>
      </c>
      <c r="D50" s="20" t="n">
        <v>18000</v>
      </c>
      <c r="E50" s="20" t="n">
        <v>0</v>
      </c>
      <c r="F50" s="20" t="n">
        <v>0.000716</v>
      </c>
      <c r="G50" s="20" t="n">
        <v>0</v>
      </c>
      <c r="H50" s="16"/>
      <c r="I50" s="17" t="n">
        <f aca="false">IFERROR(H50*(D50*F50+E50*G50),0)</f>
        <v>0</v>
      </c>
      <c r="J50" s="21" t="s">
        <v>1017</v>
      </c>
      <c r="K50" s="21" t="s">
        <v>1521</v>
      </c>
    </row>
    <row r="51" customFormat="false" ht="19.5" hidden="false" customHeight="true" outlineLevel="0" collapsed="false">
      <c r="A51" s="15" t="s">
        <v>368</v>
      </c>
      <c r="B51" s="15" t="s">
        <v>1604</v>
      </c>
      <c r="C51" s="15" t="s">
        <v>1605</v>
      </c>
      <c r="D51" s="15" t="n">
        <v>15000</v>
      </c>
      <c r="E51" s="15" t="n">
        <v>0</v>
      </c>
      <c r="F51" s="15" t="n">
        <v>0.000716</v>
      </c>
      <c r="G51" s="15" t="n">
        <v>0</v>
      </c>
      <c r="H51" s="16"/>
      <c r="I51" s="17" t="n">
        <f aca="false">IFERROR(H51*(D51*F51+E51*G51),0)</f>
        <v>0</v>
      </c>
      <c r="J51" s="18" t="s">
        <v>1017</v>
      </c>
      <c r="K51" s="18" t="s">
        <v>1521</v>
      </c>
    </row>
    <row r="52" customFormat="false" ht="18" hidden="false" customHeight="true" outlineLevel="0" collapsed="false">
      <c r="A52" s="23" t="s">
        <v>430</v>
      </c>
      <c r="B52" s="23"/>
      <c r="C52" s="23"/>
      <c r="D52" s="23"/>
      <c r="E52" s="23"/>
      <c r="F52" s="23"/>
      <c r="G52" s="23"/>
      <c r="H52" s="23"/>
      <c r="I52" s="24" t="n">
        <f aca="false">SUM(I6:I51)</f>
        <v>0</v>
      </c>
      <c r="J52" s="23"/>
      <c r="K52" s="23"/>
    </row>
    <row r="53" customFormat="false" ht="15.75" hidden="false" customHeight="true" outlineLevel="0" collapsed="false"/>
    <row r="54" customFormat="false" ht="15.75" hidden="false" customHeight="true" outlineLevel="0" collapsed="false">
      <c r="A54" s="25" t="s">
        <v>1606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A1:L1"/>
    <mergeCell ref="A2:L2"/>
    <mergeCell ref="A3:L3"/>
    <mergeCell ref="A6:K6"/>
    <mergeCell ref="A15:K15"/>
    <mergeCell ref="A24:K24"/>
    <mergeCell ref="A30:K30"/>
    <mergeCell ref="A36:K36"/>
    <mergeCell ref="A40:K40"/>
    <mergeCell ref="A46:K46"/>
    <mergeCell ref="A54:K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6"/>
    <col collapsed="false" customWidth="true" hidden="false" outlineLevel="0" max="3" min="3" style="1" width="32"/>
    <col collapsed="false" customWidth="true" hidden="false" outlineLevel="0" max="7" min="4" style="1" width="16"/>
    <col collapsed="false" customWidth="true" hidden="false" outlineLevel="0" max="9" min="8" style="1" width="14"/>
    <col collapsed="false" customWidth="true" hidden="false" outlineLevel="0" max="10" min="10" style="1" width="10"/>
    <col collapsed="false" customWidth="true" hidden="false" outlineLevel="0" max="13" min="11" style="1" width="28"/>
    <col collapsed="false" customWidth="true" hidden="false" outlineLevel="0" max="26" min="14" style="1" width="8.71"/>
  </cols>
  <sheetData>
    <row r="1" customFormat="false" ht="27.75" hidden="false" customHeight="true" outlineLevel="0" collapsed="false">
      <c r="A1" s="10" t="s">
        <v>1607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30" hidden="false" customHeight="true" outlineLevel="0" collapsed="false">
      <c r="A2" s="38" t="s">
        <v>1608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customFormat="false" ht="36" hidden="false" customHeight="true" outlineLevel="0" collapsed="false">
      <c r="A3" s="12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customFormat="false" ht="7.5" hidden="false" customHeight="true" outlineLevel="0" collapsed="false"/>
    <row r="5" customFormat="false" ht="36" hidden="false" customHeight="true" outlineLevel="0" collapsed="false">
      <c r="A5" s="13" t="s">
        <v>1609</v>
      </c>
      <c r="B5" s="13" t="s">
        <v>1610</v>
      </c>
      <c r="C5" s="13" t="s">
        <v>1611</v>
      </c>
      <c r="D5" s="13" t="s">
        <v>1612</v>
      </c>
      <c r="E5" s="13" t="s">
        <v>1613</v>
      </c>
      <c r="F5" s="13" t="s">
        <v>1614</v>
      </c>
      <c r="G5" s="13" t="s">
        <v>1615</v>
      </c>
      <c r="H5" s="13" t="s">
        <v>1616</v>
      </c>
      <c r="I5" s="13" t="s">
        <v>1617</v>
      </c>
      <c r="J5" s="13" t="s">
        <v>1618</v>
      </c>
      <c r="K5" s="13" t="s">
        <v>97</v>
      </c>
      <c r="L5" s="13" t="s">
        <v>98</v>
      </c>
    </row>
    <row r="6" customFormat="false" ht="18" hidden="false" customHeight="true" outlineLevel="0" collapsed="false">
      <c r="A6" s="14" t="s">
        <v>1619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19.5" hidden="false" customHeight="true" outlineLevel="0" collapsed="false">
      <c r="A7" s="15" t="s">
        <v>1620</v>
      </c>
      <c r="B7" s="15" t="s">
        <v>1621</v>
      </c>
      <c r="C7" s="15" t="s">
        <v>1622</v>
      </c>
      <c r="D7" s="16"/>
      <c r="E7" s="16"/>
      <c r="F7" s="16"/>
      <c r="G7" s="16"/>
      <c r="H7" s="17" t="str">
        <f aca="false">IFERROR(D7/E7,"Fill E (EVIC)")</f>
        <v>Fill E (EVIC)</v>
      </c>
      <c r="I7" s="17" t="n">
        <f aca="false">IFERROR((F7+G7)*H7,0)</f>
        <v>0</v>
      </c>
      <c r="J7" s="39" t="n">
        <v>3</v>
      </c>
      <c r="K7" s="18" t="s">
        <v>1623</v>
      </c>
      <c r="L7" s="18" t="s">
        <v>1624</v>
      </c>
    </row>
    <row r="8" customFormat="false" ht="19.5" hidden="false" customHeight="true" outlineLevel="0" collapsed="false">
      <c r="A8" s="20" t="s">
        <v>1620</v>
      </c>
      <c r="B8" s="20" t="s">
        <v>1625</v>
      </c>
      <c r="C8" s="20" t="s">
        <v>1622</v>
      </c>
      <c r="D8" s="16"/>
      <c r="E8" s="16"/>
      <c r="F8" s="16"/>
      <c r="G8" s="16"/>
      <c r="H8" s="17" t="str">
        <f aca="false">IFERROR(D8/E8,"Fill E (EVIC)")</f>
        <v>Fill E (EVIC)</v>
      </c>
      <c r="I8" s="17" t="n">
        <f aca="false">IFERROR((F8+G8)*H8,0)</f>
        <v>0</v>
      </c>
      <c r="J8" s="40" t="n">
        <v>3</v>
      </c>
      <c r="K8" s="21" t="s">
        <v>1623</v>
      </c>
      <c r="L8" s="21" t="s">
        <v>1624</v>
      </c>
    </row>
    <row r="9" customFormat="false" ht="19.5" hidden="false" customHeight="true" outlineLevel="0" collapsed="false">
      <c r="A9" s="15" t="s">
        <v>1620</v>
      </c>
      <c r="B9" s="15" t="s">
        <v>1626</v>
      </c>
      <c r="C9" s="15" t="s">
        <v>1622</v>
      </c>
      <c r="D9" s="16"/>
      <c r="E9" s="16"/>
      <c r="F9" s="16"/>
      <c r="G9" s="16"/>
      <c r="H9" s="17" t="str">
        <f aca="false">IFERROR(D9/E9,"Fill E (EVIC)")</f>
        <v>Fill E (EVIC)</v>
      </c>
      <c r="I9" s="17" t="n">
        <f aca="false">IFERROR((F9+G9)*H9,0)</f>
        <v>0</v>
      </c>
      <c r="J9" s="39" t="n">
        <v>3</v>
      </c>
      <c r="K9" s="18" t="s">
        <v>1623</v>
      </c>
      <c r="L9" s="18" t="s">
        <v>1624</v>
      </c>
    </row>
    <row r="10" customFormat="false" ht="19.5" hidden="false" customHeight="true" outlineLevel="0" collapsed="false">
      <c r="A10" s="20" t="s">
        <v>1620</v>
      </c>
      <c r="B10" s="20" t="s">
        <v>1627</v>
      </c>
      <c r="C10" s="20" t="s">
        <v>1622</v>
      </c>
      <c r="D10" s="16"/>
      <c r="E10" s="16"/>
      <c r="F10" s="16"/>
      <c r="G10" s="16"/>
      <c r="H10" s="17" t="str">
        <f aca="false">IFERROR(D10/E10,"Fill E (EVIC)")</f>
        <v>Fill E (EVIC)</v>
      </c>
      <c r="I10" s="17" t="n">
        <f aca="false">IFERROR((F10+G10)*H10,0)</f>
        <v>0</v>
      </c>
      <c r="J10" s="40" t="n">
        <v>3</v>
      </c>
      <c r="K10" s="21" t="s">
        <v>1623</v>
      </c>
      <c r="L10" s="21" t="s">
        <v>1624</v>
      </c>
    </row>
    <row r="11" customFormat="false" ht="19.5" hidden="false" customHeight="true" outlineLevel="0" collapsed="false">
      <c r="A11" s="15" t="s">
        <v>1620</v>
      </c>
      <c r="B11" s="15" t="s">
        <v>1628</v>
      </c>
      <c r="C11" s="15" t="s">
        <v>1622</v>
      </c>
      <c r="D11" s="16"/>
      <c r="E11" s="16"/>
      <c r="F11" s="16"/>
      <c r="G11" s="16"/>
      <c r="H11" s="17" t="str">
        <f aca="false">IFERROR(D11/E11,"Fill E (EVIC)")</f>
        <v>Fill E (EVIC)</v>
      </c>
      <c r="I11" s="17" t="n">
        <f aca="false">IFERROR((F11+G11)*H11,0)</f>
        <v>0</v>
      </c>
      <c r="J11" s="39" t="n">
        <v>3</v>
      </c>
      <c r="K11" s="18" t="s">
        <v>1623</v>
      </c>
      <c r="L11" s="18" t="s">
        <v>1624</v>
      </c>
    </row>
    <row r="12" customFormat="false" ht="19.5" hidden="false" customHeight="true" outlineLevel="0" collapsed="false">
      <c r="A12" s="20" t="s">
        <v>1620</v>
      </c>
      <c r="B12" s="20" t="s">
        <v>1629</v>
      </c>
      <c r="C12" s="20" t="s">
        <v>1622</v>
      </c>
      <c r="D12" s="16"/>
      <c r="E12" s="16"/>
      <c r="F12" s="16"/>
      <c r="G12" s="16"/>
      <c r="H12" s="17" t="str">
        <f aca="false">IFERROR(D12/E12,"Fill E (EVIC)")</f>
        <v>Fill E (EVIC)</v>
      </c>
      <c r="I12" s="17" t="n">
        <f aca="false">IFERROR((F12+G12)*H12,0)</f>
        <v>0</v>
      </c>
      <c r="J12" s="40" t="n">
        <v>3</v>
      </c>
      <c r="K12" s="21" t="s">
        <v>1623</v>
      </c>
      <c r="L12" s="21" t="s">
        <v>1624</v>
      </c>
    </row>
    <row r="13" customFormat="false" ht="19.5" hidden="false" customHeight="true" outlineLevel="0" collapsed="false">
      <c r="A13" s="15" t="s">
        <v>1620</v>
      </c>
      <c r="B13" s="15" t="s">
        <v>1630</v>
      </c>
      <c r="C13" s="15" t="s">
        <v>1622</v>
      </c>
      <c r="D13" s="16"/>
      <c r="E13" s="16"/>
      <c r="F13" s="16"/>
      <c r="G13" s="16"/>
      <c r="H13" s="17" t="str">
        <f aca="false">IFERROR(D13/E13,"Fill E (EVIC)")</f>
        <v>Fill E (EVIC)</v>
      </c>
      <c r="I13" s="17" t="n">
        <f aca="false">IFERROR((F13+G13)*H13,0)</f>
        <v>0</v>
      </c>
      <c r="J13" s="39" t="n">
        <v>3</v>
      </c>
      <c r="K13" s="18" t="s">
        <v>1623</v>
      </c>
      <c r="L13" s="18" t="s">
        <v>1624</v>
      </c>
    </row>
    <row r="14" customFormat="false" ht="19.5" hidden="false" customHeight="true" outlineLevel="0" collapsed="false">
      <c r="A14" s="20" t="s">
        <v>1620</v>
      </c>
      <c r="B14" s="20" t="s">
        <v>1631</v>
      </c>
      <c r="C14" s="20" t="s">
        <v>1622</v>
      </c>
      <c r="D14" s="16"/>
      <c r="E14" s="16"/>
      <c r="F14" s="16"/>
      <c r="G14" s="16"/>
      <c r="H14" s="17" t="str">
        <f aca="false">IFERROR(D14/E14,"Fill E (EVIC)")</f>
        <v>Fill E (EVIC)</v>
      </c>
      <c r="I14" s="17" t="n">
        <f aca="false">IFERROR((F14+G14)*H14,0)</f>
        <v>0</v>
      </c>
      <c r="J14" s="40" t="n">
        <v>3</v>
      </c>
      <c r="K14" s="21" t="s">
        <v>1623</v>
      </c>
      <c r="L14" s="21" t="s">
        <v>1624</v>
      </c>
    </row>
    <row r="15" customFormat="false" ht="19.5" hidden="false" customHeight="true" outlineLevel="0" collapsed="false">
      <c r="A15" s="15" t="s">
        <v>1620</v>
      </c>
      <c r="B15" s="15" t="s">
        <v>1632</v>
      </c>
      <c r="C15" s="15" t="s">
        <v>1622</v>
      </c>
      <c r="D15" s="16"/>
      <c r="E15" s="16"/>
      <c r="F15" s="16"/>
      <c r="G15" s="16"/>
      <c r="H15" s="17" t="str">
        <f aca="false">IFERROR(D15/E15,"Fill E (EVIC)")</f>
        <v>Fill E (EVIC)</v>
      </c>
      <c r="I15" s="17" t="n">
        <f aca="false">IFERROR((F15+G15)*H15,0)</f>
        <v>0</v>
      </c>
      <c r="J15" s="39" t="n">
        <v>3</v>
      </c>
      <c r="K15" s="18" t="s">
        <v>1623</v>
      </c>
      <c r="L15" s="18" t="s">
        <v>1624</v>
      </c>
    </row>
    <row r="16" customFormat="false" ht="19.5" hidden="false" customHeight="true" outlineLevel="0" collapsed="false">
      <c r="A16" s="20" t="s">
        <v>1620</v>
      </c>
      <c r="B16" s="20" t="s">
        <v>1633</v>
      </c>
      <c r="C16" s="20" t="s">
        <v>1622</v>
      </c>
      <c r="D16" s="16"/>
      <c r="E16" s="16"/>
      <c r="F16" s="16"/>
      <c r="G16" s="16"/>
      <c r="H16" s="17" t="str">
        <f aca="false">IFERROR(D16/E16,"Fill E (EVIC)")</f>
        <v>Fill E (EVIC)</v>
      </c>
      <c r="I16" s="17" t="n">
        <f aca="false">IFERROR((F16+G16)*H16,0)</f>
        <v>0</v>
      </c>
      <c r="J16" s="40" t="n">
        <v>3</v>
      </c>
      <c r="K16" s="21" t="s">
        <v>1623</v>
      </c>
      <c r="L16" s="21" t="s">
        <v>1624</v>
      </c>
    </row>
    <row r="17" customFormat="false" ht="19.5" hidden="false" customHeight="true" outlineLevel="0" collapsed="false">
      <c r="A17" s="15" t="s">
        <v>1620</v>
      </c>
      <c r="B17" s="15" t="s">
        <v>1634</v>
      </c>
      <c r="C17" s="15" t="s">
        <v>1622</v>
      </c>
      <c r="D17" s="16"/>
      <c r="E17" s="16"/>
      <c r="F17" s="16"/>
      <c r="G17" s="16"/>
      <c r="H17" s="17" t="str">
        <f aca="false">IFERROR(D17/E17,"Fill E (EVIC)")</f>
        <v>Fill E (EVIC)</v>
      </c>
      <c r="I17" s="17" t="n">
        <f aca="false">IFERROR((F17+G17)*H17,0)</f>
        <v>0</v>
      </c>
      <c r="J17" s="39" t="n">
        <v>3</v>
      </c>
      <c r="K17" s="18" t="s">
        <v>1623</v>
      </c>
      <c r="L17" s="18" t="s">
        <v>1624</v>
      </c>
    </row>
    <row r="18" customFormat="false" ht="19.5" hidden="false" customHeight="true" outlineLevel="0" collapsed="false">
      <c r="A18" s="20" t="s">
        <v>1620</v>
      </c>
      <c r="B18" s="20" t="s">
        <v>1635</v>
      </c>
      <c r="C18" s="20" t="s">
        <v>1622</v>
      </c>
      <c r="D18" s="16"/>
      <c r="E18" s="16"/>
      <c r="F18" s="16"/>
      <c r="G18" s="16"/>
      <c r="H18" s="17" t="str">
        <f aca="false">IFERROR(D18/E18,"Fill E (EVIC)")</f>
        <v>Fill E (EVIC)</v>
      </c>
      <c r="I18" s="17" t="n">
        <f aca="false">IFERROR((F18+G18)*H18,0)</f>
        <v>0</v>
      </c>
      <c r="J18" s="40" t="n">
        <v>3</v>
      </c>
      <c r="K18" s="21" t="s">
        <v>1623</v>
      </c>
      <c r="L18" s="21" t="s">
        <v>1624</v>
      </c>
    </row>
    <row r="19" customFormat="false" ht="19.5" hidden="false" customHeight="true" outlineLevel="0" collapsed="false">
      <c r="A19" s="15" t="s">
        <v>1620</v>
      </c>
      <c r="B19" s="15" t="s">
        <v>1636</v>
      </c>
      <c r="C19" s="15" t="s">
        <v>1622</v>
      </c>
      <c r="D19" s="16"/>
      <c r="E19" s="16"/>
      <c r="F19" s="16"/>
      <c r="G19" s="16"/>
      <c r="H19" s="17" t="str">
        <f aca="false">IFERROR(D19/E19,"Fill E (EVIC)")</f>
        <v>Fill E (EVIC)</v>
      </c>
      <c r="I19" s="17" t="n">
        <f aca="false">IFERROR((F19+G19)*H19,0)</f>
        <v>0</v>
      </c>
      <c r="J19" s="39" t="n">
        <v>3</v>
      </c>
      <c r="K19" s="18" t="s">
        <v>1623</v>
      </c>
      <c r="L19" s="18" t="s">
        <v>1624</v>
      </c>
    </row>
    <row r="20" customFormat="false" ht="18" hidden="false" customHeight="true" outlineLevel="0" collapsed="false">
      <c r="A20" s="14" t="s">
        <v>1637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19.5" hidden="false" customHeight="true" outlineLevel="0" collapsed="false">
      <c r="A21" s="15" t="s">
        <v>1638</v>
      </c>
      <c r="B21" s="15" t="s">
        <v>1639</v>
      </c>
      <c r="C21" s="15" t="s">
        <v>1640</v>
      </c>
      <c r="D21" s="16"/>
      <c r="E21" s="16"/>
      <c r="F21" s="16"/>
      <c r="G21" s="16"/>
      <c r="H21" s="17" t="str">
        <f aca="false">IFERROR(D21/E21,"Fill E (EVIC)")</f>
        <v>Fill E (EVIC)</v>
      </c>
      <c r="I21" s="17" t="n">
        <f aca="false">IFERROR((F21+G21)*H21,0)</f>
        <v>0</v>
      </c>
      <c r="J21" s="39" t="n">
        <v>4</v>
      </c>
      <c r="K21" s="18" t="s">
        <v>1623</v>
      </c>
      <c r="L21" s="18" t="s">
        <v>1624</v>
      </c>
    </row>
    <row r="22" customFormat="false" ht="19.5" hidden="false" customHeight="true" outlineLevel="0" collapsed="false">
      <c r="A22" s="20" t="s">
        <v>1638</v>
      </c>
      <c r="B22" s="20" t="s">
        <v>1641</v>
      </c>
      <c r="C22" s="20" t="s">
        <v>1642</v>
      </c>
      <c r="D22" s="16"/>
      <c r="E22" s="16"/>
      <c r="F22" s="16"/>
      <c r="G22" s="16"/>
      <c r="H22" s="17" t="str">
        <f aca="false">IFERROR(D22/E22,"Fill E (EVIC)")</f>
        <v>Fill E (EVIC)</v>
      </c>
      <c r="I22" s="17" t="n">
        <f aca="false">IFERROR((F22+G22)*H22,0)</f>
        <v>0</v>
      </c>
      <c r="J22" s="40" t="n">
        <v>4</v>
      </c>
      <c r="K22" s="21" t="s">
        <v>1623</v>
      </c>
      <c r="L22" s="21" t="s">
        <v>1624</v>
      </c>
    </row>
    <row r="23" customFormat="false" ht="19.5" hidden="false" customHeight="true" outlineLevel="0" collapsed="false">
      <c r="A23" s="15" t="s">
        <v>1638</v>
      </c>
      <c r="B23" s="15" t="s">
        <v>1643</v>
      </c>
      <c r="C23" s="15" t="s">
        <v>1642</v>
      </c>
      <c r="D23" s="16"/>
      <c r="E23" s="16"/>
      <c r="F23" s="16"/>
      <c r="G23" s="16"/>
      <c r="H23" s="17" t="str">
        <f aca="false">IFERROR(D23/E23,"Fill E (EVIC)")</f>
        <v>Fill E (EVIC)</v>
      </c>
      <c r="I23" s="17" t="n">
        <f aca="false">IFERROR((F23+G23)*H23,0)</f>
        <v>0</v>
      </c>
      <c r="J23" s="39" t="n">
        <v>4</v>
      </c>
      <c r="K23" s="18" t="s">
        <v>1623</v>
      </c>
      <c r="L23" s="18" t="s">
        <v>1624</v>
      </c>
    </row>
    <row r="24" customFormat="false" ht="19.5" hidden="false" customHeight="true" outlineLevel="0" collapsed="false">
      <c r="A24" s="20" t="s">
        <v>1638</v>
      </c>
      <c r="B24" s="20" t="s">
        <v>1644</v>
      </c>
      <c r="C24" s="20" t="s">
        <v>1642</v>
      </c>
      <c r="D24" s="16"/>
      <c r="E24" s="16"/>
      <c r="F24" s="16"/>
      <c r="G24" s="16"/>
      <c r="H24" s="17" t="str">
        <f aca="false">IFERROR(D24/E24,"Fill E (EVIC)")</f>
        <v>Fill E (EVIC)</v>
      </c>
      <c r="I24" s="17" t="n">
        <f aca="false">IFERROR((F24+G24)*H24,0)</f>
        <v>0</v>
      </c>
      <c r="J24" s="40" t="n">
        <v>4</v>
      </c>
      <c r="K24" s="21" t="s">
        <v>1623</v>
      </c>
      <c r="L24" s="21" t="s">
        <v>1624</v>
      </c>
    </row>
    <row r="25" customFormat="false" ht="19.5" hidden="false" customHeight="true" outlineLevel="0" collapsed="false">
      <c r="A25" s="15" t="s">
        <v>1638</v>
      </c>
      <c r="B25" s="15" t="s">
        <v>1645</v>
      </c>
      <c r="C25" s="15" t="s">
        <v>1642</v>
      </c>
      <c r="D25" s="16"/>
      <c r="E25" s="16"/>
      <c r="F25" s="16"/>
      <c r="G25" s="16"/>
      <c r="H25" s="17" t="str">
        <f aca="false">IFERROR(D25/E25,"Fill E (EVIC)")</f>
        <v>Fill E (EVIC)</v>
      </c>
      <c r="I25" s="17" t="n">
        <f aca="false">IFERROR((F25+G25)*H25,0)</f>
        <v>0</v>
      </c>
      <c r="J25" s="39" t="n">
        <v>4</v>
      </c>
      <c r="K25" s="18" t="s">
        <v>1623</v>
      </c>
      <c r="L25" s="18" t="s">
        <v>1624</v>
      </c>
    </row>
    <row r="26" customFormat="false" ht="18" hidden="false" customHeight="true" outlineLevel="0" collapsed="false">
      <c r="A26" s="14" t="s">
        <v>1646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19.5" hidden="false" customHeight="true" outlineLevel="0" collapsed="false">
      <c r="A27" s="15" t="s">
        <v>1647</v>
      </c>
      <c r="B27" s="15" t="s">
        <v>1648</v>
      </c>
      <c r="C27" s="15" t="s">
        <v>1649</v>
      </c>
      <c r="D27" s="16"/>
      <c r="E27" s="16"/>
      <c r="F27" s="16"/>
      <c r="G27" s="16"/>
      <c r="H27" s="17" t="str">
        <f aca="false">IFERROR(D27/E27,"Fill E (EVIC)")</f>
        <v>Fill E (EVIC)</v>
      </c>
      <c r="I27" s="17" t="n">
        <f aca="false">IFERROR((F27+G27)*H27,0)</f>
        <v>0</v>
      </c>
      <c r="J27" s="39" t="n">
        <v>3</v>
      </c>
      <c r="K27" s="18" t="s">
        <v>1623</v>
      </c>
      <c r="L27" s="18" t="s">
        <v>1624</v>
      </c>
    </row>
    <row r="28" customFormat="false" ht="19.5" hidden="false" customHeight="true" outlineLevel="0" collapsed="false">
      <c r="A28" s="20" t="s">
        <v>1647</v>
      </c>
      <c r="B28" s="20" t="s">
        <v>1650</v>
      </c>
      <c r="C28" s="20" t="s">
        <v>1649</v>
      </c>
      <c r="D28" s="16"/>
      <c r="E28" s="16"/>
      <c r="F28" s="16"/>
      <c r="G28" s="16"/>
      <c r="H28" s="17" t="str">
        <f aca="false">IFERROR(D28/E28,"Fill E (EVIC)")</f>
        <v>Fill E (EVIC)</v>
      </c>
      <c r="I28" s="17" t="n">
        <f aca="false">IFERROR((F28+G28)*H28,0)</f>
        <v>0</v>
      </c>
      <c r="J28" s="40" t="n">
        <v>3</v>
      </c>
      <c r="K28" s="21" t="s">
        <v>1623</v>
      </c>
      <c r="L28" s="21" t="s">
        <v>1624</v>
      </c>
    </row>
    <row r="29" customFormat="false" ht="19.5" hidden="false" customHeight="true" outlineLevel="0" collapsed="false">
      <c r="A29" s="15" t="s">
        <v>1647</v>
      </c>
      <c r="B29" s="15" t="s">
        <v>1651</v>
      </c>
      <c r="C29" s="15" t="s">
        <v>1649</v>
      </c>
      <c r="D29" s="16"/>
      <c r="E29" s="16"/>
      <c r="F29" s="16"/>
      <c r="G29" s="16"/>
      <c r="H29" s="17" t="str">
        <f aca="false">IFERROR(D29/E29,"Fill E (EVIC)")</f>
        <v>Fill E (EVIC)</v>
      </c>
      <c r="I29" s="17" t="n">
        <f aca="false">IFERROR((F29+G29)*H29,0)</f>
        <v>0</v>
      </c>
      <c r="J29" s="39" t="n">
        <v>3</v>
      </c>
      <c r="K29" s="18" t="s">
        <v>1623</v>
      </c>
      <c r="L29" s="18" t="s">
        <v>1624</v>
      </c>
    </row>
    <row r="30" customFormat="false" ht="19.5" hidden="false" customHeight="true" outlineLevel="0" collapsed="false">
      <c r="A30" s="20" t="s">
        <v>1647</v>
      </c>
      <c r="B30" s="20" t="s">
        <v>1652</v>
      </c>
      <c r="C30" s="20" t="s">
        <v>1649</v>
      </c>
      <c r="D30" s="16"/>
      <c r="E30" s="16"/>
      <c r="F30" s="16"/>
      <c r="G30" s="16"/>
      <c r="H30" s="17" t="str">
        <f aca="false">IFERROR(D30/E30,"Fill E (EVIC)")</f>
        <v>Fill E (EVIC)</v>
      </c>
      <c r="I30" s="17" t="n">
        <f aca="false">IFERROR((F30+G30)*H30,0)</f>
        <v>0</v>
      </c>
      <c r="J30" s="40" t="n">
        <v>3</v>
      </c>
      <c r="K30" s="21" t="s">
        <v>1623</v>
      </c>
      <c r="L30" s="21" t="s">
        <v>1624</v>
      </c>
    </row>
    <row r="31" customFormat="false" ht="19.5" hidden="false" customHeight="true" outlineLevel="0" collapsed="false">
      <c r="A31" s="15" t="s">
        <v>1647</v>
      </c>
      <c r="B31" s="15" t="s">
        <v>1653</v>
      </c>
      <c r="C31" s="15" t="s">
        <v>1649</v>
      </c>
      <c r="D31" s="16"/>
      <c r="E31" s="16"/>
      <c r="F31" s="16"/>
      <c r="G31" s="16"/>
      <c r="H31" s="17" t="str">
        <f aca="false">IFERROR(D31/E31,"Fill E (EVIC)")</f>
        <v>Fill E (EVIC)</v>
      </c>
      <c r="I31" s="17" t="n">
        <f aca="false">IFERROR((F31+G31)*H31,0)</f>
        <v>0</v>
      </c>
      <c r="J31" s="39" t="n">
        <v>3</v>
      </c>
      <c r="K31" s="18" t="s">
        <v>1623</v>
      </c>
      <c r="L31" s="18" t="s">
        <v>1624</v>
      </c>
    </row>
    <row r="32" customFormat="false" ht="18" hidden="false" customHeight="true" outlineLevel="0" collapsed="false">
      <c r="A32" s="14" t="s">
        <v>1654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9.5" hidden="false" customHeight="true" outlineLevel="0" collapsed="false">
      <c r="A33" s="15" t="s">
        <v>1655</v>
      </c>
      <c r="B33" s="15" t="s">
        <v>1656</v>
      </c>
      <c r="C33" s="15" t="s">
        <v>1657</v>
      </c>
      <c r="D33" s="16"/>
      <c r="E33" s="16"/>
      <c r="F33" s="16"/>
      <c r="G33" s="16"/>
      <c r="H33" s="17" t="str">
        <f aca="false">IFERROR(D33/E33,"Fill E (EVIC)")</f>
        <v>Fill E (EVIC)</v>
      </c>
      <c r="I33" s="17" t="n">
        <f aca="false">IFERROR((F33+G33)*H33,0)</f>
        <v>0</v>
      </c>
      <c r="J33" s="39" t="n">
        <v>4</v>
      </c>
      <c r="K33" s="18" t="s">
        <v>1623</v>
      </c>
      <c r="L33" s="18" t="s">
        <v>1624</v>
      </c>
    </row>
    <row r="34" customFormat="false" ht="19.5" hidden="false" customHeight="true" outlineLevel="0" collapsed="false">
      <c r="A34" s="20" t="s">
        <v>1655</v>
      </c>
      <c r="B34" s="20" t="s">
        <v>1658</v>
      </c>
      <c r="C34" s="20" t="s">
        <v>1657</v>
      </c>
      <c r="D34" s="16"/>
      <c r="E34" s="16"/>
      <c r="F34" s="16"/>
      <c r="G34" s="16"/>
      <c r="H34" s="17" t="str">
        <f aca="false">IFERROR(D34/E34,"Fill E (EVIC)")</f>
        <v>Fill E (EVIC)</v>
      </c>
      <c r="I34" s="17" t="n">
        <f aca="false">IFERROR((F34+G34)*H34,0)</f>
        <v>0</v>
      </c>
      <c r="J34" s="40" t="n">
        <v>4</v>
      </c>
      <c r="K34" s="21" t="s">
        <v>1623</v>
      </c>
      <c r="L34" s="21" t="s">
        <v>1624</v>
      </c>
    </row>
    <row r="35" customFormat="false" ht="19.5" hidden="false" customHeight="true" outlineLevel="0" collapsed="false">
      <c r="A35" s="15" t="s">
        <v>1655</v>
      </c>
      <c r="B35" s="15" t="s">
        <v>1659</v>
      </c>
      <c r="C35" s="15" t="s">
        <v>1657</v>
      </c>
      <c r="D35" s="16"/>
      <c r="E35" s="16"/>
      <c r="F35" s="16"/>
      <c r="G35" s="16"/>
      <c r="H35" s="17" t="str">
        <f aca="false">IFERROR(D35/E35,"Fill E (EVIC)")</f>
        <v>Fill E (EVIC)</v>
      </c>
      <c r="I35" s="17" t="n">
        <f aca="false">IFERROR((F35+G35)*H35,0)</f>
        <v>0</v>
      </c>
      <c r="J35" s="39" t="n">
        <v>4</v>
      </c>
      <c r="K35" s="18" t="s">
        <v>1623</v>
      </c>
      <c r="L35" s="18" t="s">
        <v>1624</v>
      </c>
    </row>
    <row r="36" customFormat="false" ht="19.5" hidden="false" customHeight="true" outlineLevel="0" collapsed="false">
      <c r="A36" s="20" t="s">
        <v>1655</v>
      </c>
      <c r="B36" s="20" t="s">
        <v>1660</v>
      </c>
      <c r="C36" s="20" t="s">
        <v>1657</v>
      </c>
      <c r="D36" s="16"/>
      <c r="E36" s="16"/>
      <c r="F36" s="16"/>
      <c r="G36" s="16"/>
      <c r="H36" s="17" t="str">
        <f aca="false">IFERROR(D36/E36,"Fill E (EVIC)")</f>
        <v>Fill E (EVIC)</v>
      </c>
      <c r="I36" s="17" t="n">
        <f aca="false">IFERROR((F36+G36)*H36,0)</f>
        <v>0</v>
      </c>
      <c r="J36" s="40" t="n">
        <v>4</v>
      </c>
      <c r="K36" s="21" t="s">
        <v>1623</v>
      </c>
      <c r="L36" s="21" t="s">
        <v>1624</v>
      </c>
    </row>
    <row r="37" customFormat="false" ht="19.5" hidden="false" customHeight="true" outlineLevel="0" collapsed="false">
      <c r="A37" s="15" t="s">
        <v>1655</v>
      </c>
      <c r="B37" s="15" t="s">
        <v>1661</v>
      </c>
      <c r="C37" s="15" t="s">
        <v>1657</v>
      </c>
      <c r="D37" s="16"/>
      <c r="E37" s="16"/>
      <c r="F37" s="16"/>
      <c r="G37" s="16"/>
      <c r="H37" s="17" t="str">
        <f aca="false">IFERROR(D37/E37,"Fill E (EVIC)")</f>
        <v>Fill E (EVIC)</v>
      </c>
      <c r="I37" s="17" t="n">
        <f aca="false">IFERROR((F37+G37)*H37,0)</f>
        <v>0</v>
      </c>
      <c r="J37" s="39" t="n">
        <v>4</v>
      </c>
      <c r="K37" s="18" t="s">
        <v>1623</v>
      </c>
      <c r="L37" s="18" t="s">
        <v>1624</v>
      </c>
    </row>
    <row r="38" customFormat="false" ht="18" hidden="false" customHeight="true" outlineLevel="0" collapsed="false">
      <c r="A38" s="14" t="s">
        <v>1662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customFormat="false" ht="19.5" hidden="false" customHeight="true" outlineLevel="0" collapsed="false">
      <c r="A39" s="15" t="s">
        <v>1663</v>
      </c>
      <c r="B39" s="15" t="s">
        <v>1664</v>
      </c>
      <c r="C39" s="15" t="s">
        <v>1665</v>
      </c>
      <c r="D39" s="16"/>
      <c r="E39" s="16"/>
      <c r="F39" s="16"/>
      <c r="G39" s="16"/>
      <c r="H39" s="17" t="str">
        <f aca="false">IFERROR(D39/E39,"Fill E (EVIC)")</f>
        <v>Fill E (EVIC)</v>
      </c>
      <c r="I39" s="17" t="n">
        <f aca="false">IFERROR((F39+G39)*H39,0)</f>
        <v>0</v>
      </c>
      <c r="J39" s="39" t="n">
        <v>2</v>
      </c>
      <c r="K39" s="18" t="s">
        <v>1623</v>
      </c>
      <c r="L39" s="18" t="s">
        <v>1624</v>
      </c>
    </row>
    <row r="40" customFormat="false" ht="19.5" hidden="false" customHeight="true" outlineLevel="0" collapsed="false">
      <c r="A40" s="20" t="s">
        <v>1663</v>
      </c>
      <c r="B40" s="20" t="s">
        <v>1666</v>
      </c>
      <c r="C40" s="20" t="s">
        <v>1665</v>
      </c>
      <c r="D40" s="16"/>
      <c r="E40" s="16"/>
      <c r="F40" s="16"/>
      <c r="G40" s="16"/>
      <c r="H40" s="17" t="str">
        <f aca="false">IFERROR(D40/E40,"Fill E (EVIC)")</f>
        <v>Fill E (EVIC)</v>
      </c>
      <c r="I40" s="17" t="n">
        <f aca="false">IFERROR((F40+G40)*H40,0)</f>
        <v>0</v>
      </c>
      <c r="J40" s="40" t="n">
        <v>2</v>
      </c>
      <c r="K40" s="21" t="s">
        <v>1623</v>
      </c>
      <c r="L40" s="21" t="s">
        <v>1624</v>
      </c>
    </row>
    <row r="41" customFormat="false" ht="19.5" hidden="false" customHeight="true" outlineLevel="0" collapsed="false">
      <c r="A41" s="15" t="s">
        <v>1663</v>
      </c>
      <c r="B41" s="15" t="s">
        <v>1667</v>
      </c>
      <c r="C41" s="15" t="s">
        <v>1668</v>
      </c>
      <c r="D41" s="16"/>
      <c r="E41" s="16"/>
      <c r="F41" s="16"/>
      <c r="G41" s="16"/>
      <c r="H41" s="17" t="str">
        <f aca="false">IFERROR(D41/E41,"Fill E (EVIC)")</f>
        <v>Fill E (EVIC)</v>
      </c>
      <c r="I41" s="17" t="n">
        <f aca="false">IFERROR((F41+G41)*H41,0)</f>
        <v>0</v>
      </c>
      <c r="J41" s="39" t="n">
        <v>2</v>
      </c>
      <c r="K41" s="18" t="s">
        <v>1623</v>
      </c>
      <c r="L41" s="18" t="s">
        <v>1624</v>
      </c>
    </row>
    <row r="42" customFormat="false" ht="19.5" hidden="false" customHeight="true" outlineLevel="0" collapsed="false">
      <c r="A42" s="20" t="s">
        <v>1663</v>
      </c>
      <c r="B42" s="20" t="s">
        <v>1669</v>
      </c>
      <c r="C42" s="20" t="s">
        <v>1668</v>
      </c>
      <c r="D42" s="16"/>
      <c r="E42" s="16"/>
      <c r="F42" s="16"/>
      <c r="G42" s="16"/>
      <c r="H42" s="17" t="str">
        <f aca="false">IFERROR(D42/E42,"Fill E (EVIC)")</f>
        <v>Fill E (EVIC)</v>
      </c>
      <c r="I42" s="17" t="n">
        <f aca="false">IFERROR((F42+G42)*H42,0)</f>
        <v>0</v>
      </c>
      <c r="J42" s="40" t="n">
        <v>2</v>
      </c>
      <c r="K42" s="21" t="s">
        <v>1623</v>
      </c>
      <c r="L42" s="21" t="s">
        <v>1624</v>
      </c>
    </row>
    <row r="43" customFormat="false" ht="19.5" hidden="false" customHeight="true" outlineLevel="0" collapsed="false">
      <c r="A43" s="15" t="s">
        <v>1663</v>
      </c>
      <c r="B43" s="15" t="s">
        <v>1670</v>
      </c>
      <c r="C43" s="15" t="s">
        <v>1668</v>
      </c>
      <c r="D43" s="16"/>
      <c r="E43" s="16"/>
      <c r="F43" s="16"/>
      <c r="G43" s="16"/>
      <c r="H43" s="17" t="str">
        <f aca="false">IFERROR(D43/E43,"Fill E (EVIC)")</f>
        <v>Fill E (EVIC)</v>
      </c>
      <c r="I43" s="17" t="n">
        <f aca="false">IFERROR((F43+G43)*H43,0)</f>
        <v>0</v>
      </c>
      <c r="J43" s="39" t="n">
        <v>2</v>
      </c>
      <c r="K43" s="18" t="s">
        <v>1623</v>
      </c>
      <c r="L43" s="18" t="s">
        <v>1624</v>
      </c>
    </row>
    <row r="44" customFormat="false" ht="19.5" hidden="false" customHeight="true" outlineLevel="0" collapsed="false">
      <c r="A44" s="20" t="s">
        <v>1663</v>
      </c>
      <c r="B44" s="20" t="s">
        <v>1671</v>
      </c>
      <c r="C44" s="20" t="s">
        <v>1668</v>
      </c>
      <c r="D44" s="16"/>
      <c r="E44" s="16"/>
      <c r="F44" s="16"/>
      <c r="G44" s="16"/>
      <c r="H44" s="17" t="str">
        <f aca="false">IFERROR(D44/E44,"Fill E (EVIC)")</f>
        <v>Fill E (EVIC)</v>
      </c>
      <c r="I44" s="17" t="n">
        <f aca="false">IFERROR((F44+G44)*H44,0)</f>
        <v>0</v>
      </c>
      <c r="J44" s="40" t="n">
        <v>2</v>
      </c>
      <c r="K44" s="21" t="s">
        <v>1623</v>
      </c>
      <c r="L44" s="21" t="s">
        <v>1624</v>
      </c>
    </row>
    <row r="45" customFormat="false" ht="18" hidden="false" customHeight="true" outlineLevel="0" collapsed="false">
      <c r="A45" s="14" t="s">
        <v>1672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customFormat="false" ht="19.5" hidden="false" customHeight="true" outlineLevel="0" collapsed="false">
      <c r="A46" s="15" t="s">
        <v>1673</v>
      </c>
      <c r="B46" s="15" t="s">
        <v>1674</v>
      </c>
      <c r="C46" s="15" t="s">
        <v>1675</v>
      </c>
      <c r="D46" s="16"/>
      <c r="E46" s="16"/>
      <c r="F46" s="16"/>
      <c r="G46" s="16"/>
      <c r="H46" s="17" t="str">
        <f aca="false">IFERROR(D46/E46,"Fill E (EVIC)")</f>
        <v>Fill E (EVIC)</v>
      </c>
      <c r="I46" s="17" t="n">
        <f aca="false">IFERROR((F46+G46)*H46,0)</f>
        <v>0</v>
      </c>
      <c r="J46" s="39" t="n">
        <v>3</v>
      </c>
      <c r="K46" s="18" t="s">
        <v>1623</v>
      </c>
      <c r="L46" s="18" t="s">
        <v>1624</v>
      </c>
    </row>
    <row r="47" customFormat="false" ht="19.5" hidden="false" customHeight="true" outlineLevel="0" collapsed="false">
      <c r="A47" s="20" t="s">
        <v>1673</v>
      </c>
      <c r="B47" s="20" t="s">
        <v>1676</v>
      </c>
      <c r="C47" s="20" t="s">
        <v>1675</v>
      </c>
      <c r="D47" s="16"/>
      <c r="E47" s="16"/>
      <c r="F47" s="16"/>
      <c r="G47" s="16"/>
      <c r="H47" s="17" t="str">
        <f aca="false">IFERROR(D47/E47,"Fill E (EVIC)")</f>
        <v>Fill E (EVIC)</v>
      </c>
      <c r="I47" s="17" t="n">
        <f aca="false">IFERROR((F47+G47)*H47,0)</f>
        <v>0</v>
      </c>
      <c r="J47" s="40" t="n">
        <v>3</v>
      </c>
      <c r="K47" s="21" t="s">
        <v>1623</v>
      </c>
      <c r="L47" s="21" t="s">
        <v>1624</v>
      </c>
    </row>
    <row r="48" customFormat="false" ht="19.5" hidden="false" customHeight="true" outlineLevel="0" collapsed="false">
      <c r="A48" s="15" t="s">
        <v>1673</v>
      </c>
      <c r="B48" s="15" t="s">
        <v>1677</v>
      </c>
      <c r="C48" s="15" t="s">
        <v>1675</v>
      </c>
      <c r="D48" s="16"/>
      <c r="E48" s="16"/>
      <c r="F48" s="16"/>
      <c r="G48" s="16"/>
      <c r="H48" s="17" t="str">
        <f aca="false">IFERROR(D48/E48,"Fill E (EVIC)")</f>
        <v>Fill E (EVIC)</v>
      </c>
      <c r="I48" s="17" t="n">
        <f aca="false">IFERROR((F48+G48)*H48,0)</f>
        <v>0</v>
      </c>
      <c r="J48" s="39" t="n">
        <v>3</v>
      </c>
      <c r="K48" s="18" t="s">
        <v>1623</v>
      </c>
      <c r="L48" s="18" t="s">
        <v>1624</v>
      </c>
    </row>
    <row r="49" customFormat="false" ht="19.5" hidden="false" customHeight="true" outlineLevel="0" collapsed="false">
      <c r="A49" s="20" t="s">
        <v>1673</v>
      </c>
      <c r="B49" s="20" t="s">
        <v>1678</v>
      </c>
      <c r="C49" s="20" t="s">
        <v>1675</v>
      </c>
      <c r="D49" s="16"/>
      <c r="E49" s="16"/>
      <c r="F49" s="16"/>
      <c r="G49" s="16"/>
      <c r="H49" s="17" t="str">
        <f aca="false">IFERROR(D49/E49,"Fill E (EVIC)")</f>
        <v>Fill E (EVIC)</v>
      </c>
      <c r="I49" s="17" t="n">
        <f aca="false">IFERROR((F49+G49)*H49,0)</f>
        <v>0</v>
      </c>
      <c r="J49" s="40" t="n">
        <v>3</v>
      </c>
      <c r="K49" s="21" t="s">
        <v>1623</v>
      </c>
      <c r="L49" s="21" t="s">
        <v>1624</v>
      </c>
    </row>
    <row r="50" customFormat="false" ht="18" hidden="false" customHeight="true" outlineLevel="0" collapsed="false">
      <c r="A50" s="14" t="s">
        <v>1679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customFormat="false" ht="19.5" hidden="false" customHeight="true" outlineLevel="0" collapsed="false">
      <c r="A51" s="15" t="s">
        <v>1680</v>
      </c>
      <c r="B51" s="15" t="s">
        <v>1681</v>
      </c>
      <c r="C51" s="15" t="s">
        <v>1675</v>
      </c>
      <c r="D51" s="16"/>
      <c r="E51" s="16"/>
      <c r="F51" s="16"/>
      <c r="G51" s="16"/>
      <c r="H51" s="17" t="str">
        <f aca="false">IFERROR(D51/E51,"Fill E (EVIC)")</f>
        <v>Fill E (EVIC)</v>
      </c>
      <c r="I51" s="17" t="n">
        <f aca="false">IFERROR((F51+G51)*H51,0)</f>
        <v>0</v>
      </c>
      <c r="J51" s="39" t="n">
        <v>4</v>
      </c>
      <c r="K51" s="18" t="s">
        <v>1623</v>
      </c>
      <c r="L51" s="18" t="s">
        <v>1624</v>
      </c>
    </row>
    <row r="52" customFormat="false" ht="19.5" hidden="false" customHeight="true" outlineLevel="0" collapsed="false">
      <c r="A52" s="20" t="s">
        <v>1680</v>
      </c>
      <c r="B52" s="20" t="s">
        <v>1682</v>
      </c>
      <c r="C52" s="20" t="s">
        <v>1675</v>
      </c>
      <c r="D52" s="16"/>
      <c r="E52" s="16"/>
      <c r="F52" s="16"/>
      <c r="G52" s="16"/>
      <c r="H52" s="17" t="str">
        <f aca="false">IFERROR(D52/E52,"Fill E (EVIC)")</f>
        <v>Fill E (EVIC)</v>
      </c>
      <c r="I52" s="17" t="n">
        <f aca="false">IFERROR((F52+G52)*H52,0)</f>
        <v>0</v>
      </c>
      <c r="J52" s="40" t="n">
        <v>4</v>
      </c>
      <c r="K52" s="21" t="s">
        <v>1623</v>
      </c>
      <c r="L52" s="21" t="s">
        <v>1624</v>
      </c>
    </row>
    <row r="53" customFormat="false" ht="19.5" hidden="false" customHeight="true" outlineLevel="0" collapsed="false">
      <c r="A53" s="15" t="s">
        <v>1680</v>
      </c>
      <c r="B53" s="15" t="s">
        <v>1683</v>
      </c>
      <c r="C53" s="15" t="s">
        <v>1675</v>
      </c>
      <c r="D53" s="16"/>
      <c r="E53" s="16"/>
      <c r="F53" s="16"/>
      <c r="G53" s="16"/>
      <c r="H53" s="17" t="str">
        <f aca="false">IFERROR(D53/E53,"Fill E (EVIC)")</f>
        <v>Fill E (EVIC)</v>
      </c>
      <c r="I53" s="17" t="n">
        <f aca="false">IFERROR((F53+G53)*H53,0)</f>
        <v>0</v>
      </c>
      <c r="J53" s="39" t="n">
        <v>4</v>
      </c>
      <c r="K53" s="18" t="s">
        <v>1623</v>
      </c>
      <c r="L53" s="18" t="s">
        <v>1624</v>
      </c>
    </row>
    <row r="54" customFormat="false" ht="18" hidden="false" customHeight="true" outlineLevel="0" collapsed="false">
      <c r="A54" s="14" t="s">
        <v>1684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customFormat="false" ht="19.5" hidden="false" customHeight="true" outlineLevel="0" collapsed="false">
      <c r="A55" s="15" t="s">
        <v>1685</v>
      </c>
      <c r="B55" s="15" t="s">
        <v>1686</v>
      </c>
      <c r="C55" s="15" t="s">
        <v>1687</v>
      </c>
      <c r="D55" s="16"/>
      <c r="E55" s="16"/>
      <c r="F55" s="16"/>
      <c r="G55" s="16"/>
      <c r="H55" s="17" t="str">
        <f aca="false">IFERROR(D55/E55,"Fill E (EVIC)")</f>
        <v>Fill E (EVIC)</v>
      </c>
      <c r="I55" s="17" t="n">
        <f aca="false">IFERROR((F55+G55)*H55,0)</f>
        <v>0</v>
      </c>
      <c r="J55" s="39" t="n">
        <v>4</v>
      </c>
      <c r="K55" s="18" t="s">
        <v>1623</v>
      </c>
      <c r="L55" s="18" t="s">
        <v>1624</v>
      </c>
    </row>
    <row r="56" customFormat="false" ht="19.5" hidden="false" customHeight="true" outlineLevel="0" collapsed="false">
      <c r="A56" s="20" t="s">
        <v>1685</v>
      </c>
      <c r="B56" s="20" t="s">
        <v>1688</v>
      </c>
      <c r="C56" s="20" t="s">
        <v>1687</v>
      </c>
      <c r="D56" s="16"/>
      <c r="E56" s="16"/>
      <c r="F56" s="16"/>
      <c r="G56" s="16"/>
      <c r="H56" s="17" t="str">
        <f aca="false">IFERROR(D56/E56,"Fill E (EVIC)")</f>
        <v>Fill E (EVIC)</v>
      </c>
      <c r="I56" s="17" t="n">
        <f aca="false">IFERROR((F56+G56)*H56,0)</f>
        <v>0</v>
      </c>
      <c r="J56" s="40" t="n">
        <v>4</v>
      </c>
      <c r="K56" s="21" t="s">
        <v>1623</v>
      </c>
      <c r="L56" s="21" t="s">
        <v>1624</v>
      </c>
    </row>
    <row r="57" customFormat="false" ht="19.5" hidden="false" customHeight="true" outlineLevel="0" collapsed="false">
      <c r="A57" s="15" t="s">
        <v>1685</v>
      </c>
      <c r="B57" s="15" t="s">
        <v>1689</v>
      </c>
      <c r="C57" s="15" t="s">
        <v>1690</v>
      </c>
      <c r="D57" s="16"/>
      <c r="E57" s="16"/>
      <c r="F57" s="16"/>
      <c r="G57" s="16"/>
      <c r="H57" s="17" t="str">
        <f aca="false">IFERROR(D57/E57,"Fill E (EVIC)")</f>
        <v>Fill E (EVIC)</v>
      </c>
      <c r="I57" s="17" t="n">
        <f aca="false">IFERROR((F57+G57)*H57,0)</f>
        <v>0</v>
      </c>
      <c r="J57" s="39" t="n">
        <v>4</v>
      </c>
      <c r="K57" s="18" t="s">
        <v>1623</v>
      </c>
      <c r="L57" s="18" t="s">
        <v>1624</v>
      </c>
    </row>
    <row r="58" customFormat="false" ht="19.5" hidden="false" customHeight="true" outlineLevel="0" collapsed="false">
      <c r="A58" s="20" t="s">
        <v>1685</v>
      </c>
      <c r="B58" s="20" t="s">
        <v>1691</v>
      </c>
      <c r="C58" s="20" t="s">
        <v>1690</v>
      </c>
      <c r="D58" s="16"/>
      <c r="E58" s="16"/>
      <c r="F58" s="16"/>
      <c r="G58" s="16"/>
      <c r="H58" s="17" t="str">
        <f aca="false">IFERROR(D58/E58,"Fill E (EVIC)")</f>
        <v>Fill E (EVIC)</v>
      </c>
      <c r="I58" s="17" t="n">
        <f aca="false">IFERROR((F58+G58)*H58,0)</f>
        <v>0</v>
      </c>
      <c r="J58" s="40" t="n">
        <v>4</v>
      </c>
      <c r="K58" s="21" t="s">
        <v>1623</v>
      </c>
      <c r="L58" s="21" t="s">
        <v>1624</v>
      </c>
    </row>
    <row r="59" customFormat="false" ht="18" hidden="false" customHeight="true" outlineLevel="0" collapsed="false">
      <c r="A59" s="14" t="s">
        <v>1692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customFormat="false" ht="19.5" hidden="false" customHeight="true" outlineLevel="0" collapsed="false">
      <c r="A60" s="15" t="s">
        <v>1693</v>
      </c>
      <c r="B60" s="15" t="s">
        <v>1694</v>
      </c>
      <c r="C60" s="15" t="s">
        <v>1695</v>
      </c>
      <c r="D60" s="16"/>
      <c r="E60" s="16"/>
      <c r="F60" s="16"/>
      <c r="G60" s="16"/>
      <c r="H60" s="17" t="str">
        <f aca="false">IFERROR(D60/E60,"Fill E (EVIC)")</f>
        <v>Fill E (EVIC)</v>
      </c>
      <c r="I60" s="17" t="n">
        <f aca="false">IFERROR((F60+G60)*H60,0)</f>
        <v>0</v>
      </c>
      <c r="J60" s="39" t="n">
        <v>4</v>
      </c>
      <c r="K60" s="18" t="s">
        <v>1623</v>
      </c>
      <c r="L60" s="18" t="s">
        <v>1624</v>
      </c>
    </row>
    <row r="61" customFormat="false" ht="19.5" hidden="false" customHeight="true" outlineLevel="0" collapsed="false">
      <c r="A61" s="20" t="s">
        <v>1693</v>
      </c>
      <c r="B61" s="20" t="s">
        <v>1696</v>
      </c>
      <c r="C61" s="20" t="s">
        <v>1695</v>
      </c>
      <c r="D61" s="16"/>
      <c r="E61" s="16"/>
      <c r="F61" s="16"/>
      <c r="G61" s="16"/>
      <c r="H61" s="17" t="str">
        <f aca="false">IFERROR(D61/E61,"Fill E (EVIC)")</f>
        <v>Fill E (EVIC)</v>
      </c>
      <c r="I61" s="17" t="n">
        <f aca="false">IFERROR((F61+G61)*H61,0)</f>
        <v>0</v>
      </c>
      <c r="J61" s="40" t="n">
        <v>4</v>
      </c>
      <c r="K61" s="21" t="s">
        <v>1623</v>
      </c>
      <c r="L61" s="21" t="s">
        <v>1624</v>
      </c>
    </row>
    <row r="62" customFormat="false" ht="19.5" hidden="false" customHeight="true" outlineLevel="0" collapsed="false">
      <c r="A62" s="15" t="s">
        <v>1693</v>
      </c>
      <c r="B62" s="15" t="s">
        <v>1697</v>
      </c>
      <c r="C62" s="15" t="s">
        <v>1695</v>
      </c>
      <c r="D62" s="16"/>
      <c r="E62" s="16"/>
      <c r="F62" s="16"/>
      <c r="G62" s="16"/>
      <c r="H62" s="17" t="str">
        <f aca="false">IFERROR(D62/E62,"Fill E (EVIC)")</f>
        <v>Fill E (EVIC)</v>
      </c>
      <c r="I62" s="17" t="n">
        <f aca="false">IFERROR((F62+G62)*H62,0)</f>
        <v>0</v>
      </c>
      <c r="J62" s="39" t="n">
        <v>4</v>
      </c>
      <c r="K62" s="18" t="s">
        <v>1623</v>
      </c>
      <c r="L62" s="18" t="s">
        <v>1624</v>
      </c>
    </row>
    <row r="63" customFormat="false" ht="19.5" hidden="false" customHeight="true" outlineLevel="0" collapsed="false">
      <c r="A63" s="20" t="s">
        <v>1693</v>
      </c>
      <c r="B63" s="20" t="s">
        <v>1698</v>
      </c>
      <c r="C63" s="20" t="s">
        <v>1695</v>
      </c>
      <c r="D63" s="16"/>
      <c r="E63" s="16"/>
      <c r="F63" s="16"/>
      <c r="G63" s="16"/>
      <c r="H63" s="17" t="str">
        <f aca="false">IFERROR(D63/E63,"Fill E (EVIC)")</f>
        <v>Fill E (EVIC)</v>
      </c>
      <c r="I63" s="17" t="n">
        <f aca="false">IFERROR((F63+G63)*H63,0)</f>
        <v>0</v>
      </c>
      <c r="J63" s="40" t="n">
        <v>4</v>
      </c>
      <c r="K63" s="21" t="s">
        <v>1623</v>
      </c>
      <c r="L63" s="21" t="s">
        <v>1624</v>
      </c>
    </row>
    <row r="64" customFormat="false" ht="19.5" hidden="false" customHeight="true" outlineLevel="0" collapsed="false">
      <c r="A64" s="15" t="s">
        <v>1693</v>
      </c>
      <c r="B64" s="15" t="s">
        <v>1699</v>
      </c>
      <c r="C64" s="15" t="s">
        <v>1695</v>
      </c>
      <c r="D64" s="16"/>
      <c r="E64" s="16"/>
      <c r="F64" s="16"/>
      <c r="G64" s="16"/>
      <c r="H64" s="17" t="str">
        <f aca="false">IFERROR(D64/E64,"Fill E (EVIC)")</f>
        <v>Fill E (EVIC)</v>
      </c>
      <c r="I64" s="17" t="n">
        <f aca="false">IFERROR((F64+G64)*H64,0)</f>
        <v>0</v>
      </c>
      <c r="J64" s="39" t="n">
        <v>4</v>
      </c>
      <c r="K64" s="18" t="s">
        <v>1623</v>
      </c>
      <c r="L64" s="18" t="s">
        <v>1624</v>
      </c>
    </row>
    <row r="65" customFormat="false" ht="18" hidden="false" customHeight="true" outlineLevel="0" collapsed="false">
      <c r="A65" s="14" t="s">
        <v>1700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customFormat="false" ht="19.5" hidden="false" customHeight="true" outlineLevel="0" collapsed="false">
      <c r="A66" s="15" t="s">
        <v>1701</v>
      </c>
      <c r="B66" s="15" t="s">
        <v>1702</v>
      </c>
      <c r="C66" s="15" t="s">
        <v>1703</v>
      </c>
      <c r="D66" s="16"/>
      <c r="E66" s="16"/>
      <c r="F66" s="16"/>
      <c r="G66" s="16"/>
      <c r="H66" s="17" t="str">
        <f aca="false">IFERROR(D66/E66,"Fill E (EVIC)")</f>
        <v>Fill E (EVIC)</v>
      </c>
      <c r="I66" s="17" t="n">
        <f aca="false">IFERROR((F66+G66)*H66,0)</f>
        <v>0</v>
      </c>
      <c r="J66" s="39" t="n">
        <v>4</v>
      </c>
      <c r="K66" s="18" t="s">
        <v>1623</v>
      </c>
      <c r="L66" s="18" t="s">
        <v>1624</v>
      </c>
    </row>
    <row r="67" customFormat="false" ht="19.5" hidden="false" customHeight="true" outlineLevel="0" collapsed="false">
      <c r="A67" s="20" t="s">
        <v>1701</v>
      </c>
      <c r="B67" s="20" t="s">
        <v>1704</v>
      </c>
      <c r="C67" s="20" t="s">
        <v>1705</v>
      </c>
      <c r="D67" s="16"/>
      <c r="E67" s="16"/>
      <c r="F67" s="16"/>
      <c r="G67" s="16"/>
      <c r="H67" s="17" t="str">
        <f aca="false">IFERROR(D67/E67,"Fill E (EVIC)")</f>
        <v>Fill E (EVIC)</v>
      </c>
      <c r="I67" s="17" t="n">
        <f aca="false">IFERROR((F67+G67)*H67,0)</f>
        <v>0</v>
      </c>
      <c r="J67" s="40" t="n">
        <v>4</v>
      </c>
      <c r="K67" s="21" t="s">
        <v>1623</v>
      </c>
      <c r="L67" s="21" t="s">
        <v>1624</v>
      </c>
    </row>
    <row r="68" customFormat="false" ht="19.5" hidden="false" customHeight="true" outlineLevel="0" collapsed="false">
      <c r="A68" s="15" t="s">
        <v>1701</v>
      </c>
      <c r="B68" s="15" t="s">
        <v>1706</v>
      </c>
      <c r="C68" s="15" t="s">
        <v>1707</v>
      </c>
      <c r="D68" s="16"/>
      <c r="E68" s="16"/>
      <c r="F68" s="16"/>
      <c r="G68" s="16"/>
      <c r="H68" s="17" t="str">
        <f aca="false">IFERROR(D68/E68,"Fill E (EVIC)")</f>
        <v>Fill E (EVIC)</v>
      </c>
      <c r="I68" s="17" t="n">
        <f aca="false">IFERROR((F68+G68)*H68,0)</f>
        <v>0</v>
      </c>
      <c r="J68" s="39" t="n">
        <v>4</v>
      </c>
      <c r="K68" s="18" t="s">
        <v>1623</v>
      </c>
      <c r="L68" s="18" t="s">
        <v>1624</v>
      </c>
    </row>
    <row r="69" customFormat="false" ht="18" hidden="false" customHeight="true" outlineLevel="0" collapsed="false">
      <c r="A69" s="23" t="s">
        <v>430</v>
      </c>
      <c r="B69" s="23"/>
      <c r="C69" s="23"/>
      <c r="D69" s="23"/>
      <c r="E69" s="23"/>
      <c r="F69" s="23"/>
      <c r="G69" s="23"/>
      <c r="H69" s="23"/>
      <c r="I69" s="24" t="n">
        <f aca="false">SUM(I6:I68)</f>
        <v>0</v>
      </c>
      <c r="J69" s="23"/>
      <c r="K69" s="23"/>
      <c r="L69" s="23"/>
    </row>
    <row r="70" customFormat="false" ht="15.75" hidden="false" customHeight="true" outlineLevel="0" collapsed="false"/>
    <row r="71" customFormat="false" ht="15.75" hidden="false" customHeight="true" outlineLevel="0" collapsed="false">
      <c r="A71" s="25" t="s">
        <v>1708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A1:M1"/>
    <mergeCell ref="A2:M2"/>
    <mergeCell ref="A3:M3"/>
    <mergeCell ref="A6:L6"/>
    <mergeCell ref="A20:L20"/>
    <mergeCell ref="A26:L26"/>
    <mergeCell ref="A32:L32"/>
    <mergeCell ref="A38:L38"/>
    <mergeCell ref="A45:L45"/>
    <mergeCell ref="A50:L50"/>
    <mergeCell ref="A54:L54"/>
    <mergeCell ref="A59:L59"/>
    <mergeCell ref="A65:L65"/>
    <mergeCell ref="A71:L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9" min="6" style="1" width="14"/>
    <col collapsed="false" customWidth="true" hidden="false" outlineLevel="0" max="11" min="10" style="1" width="16"/>
    <col collapsed="false" customWidth="true" hidden="false" outlineLevel="0" max="13" min="12" style="1" width="14"/>
    <col collapsed="false" customWidth="true" hidden="false" outlineLevel="0" max="14" min="14" style="1" width="13"/>
    <col collapsed="false" customWidth="true" hidden="false" outlineLevel="0" max="18" min="15" style="1" width="16"/>
    <col collapsed="false" customWidth="true" hidden="false" outlineLevel="0" max="22" min="19" style="1" width="18"/>
    <col collapsed="false" customWidth="true" hidden="false" outlineLevel="0" max="23" min="23" style="1" width="24"/>
    <col collapsed="false" customWidth="true" hidden="false" outlineLevel="0" max="26" min="24" style="1" width="8.71"/>
  </cols>
  <sheetData>
    <row r="1" customFormat="false" ht="27.75" hidden="false" customHeight="true" outlineLevel="0" collapsed="false">
      <c r="A1" s="10" t="s">
        <v>1709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customFormat="false" ht="24" hidden="false" customHeight="true" outlineLevel="0" collapsed="false">
      <c r="A2" s="11" t="s">
        <v>1710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customFormat="false" ht="6" hidden="false" customHeight="true" outlineLevel="0" collapsed="false"/>
    <row r="4" customFormat="false" ht="36" hidden="false" customHeight="true" outlineLevel="0" collapsed="false">
      <c r="A4" s="41" t="s">
        <v>1711</v>
      </c>
      <c r="B4" s="41" t="s">
        <v>1712</v>
      </c>
      <c r="C4" s="41" t="s">
        <v>1713</v>
      </c>
      <c r="D4" s="41" t="s">
        <v>1714</v>
      </c>
      <c r="E4" s="41" t="s">
        <v>1715</v>
      </c>
      <c r="F4" s="41" t="s">
        <v>1716</v>
      </c>
      <c r="G4" s="41" t="s">
        <v>1717</v>
      </c>
      <c r="H4" s="41" t="s">
        <v>1718</v>
      </c>
      <c r="I4" s="41" t="s">
        <v>1719</v>
      </c>
      <c r="J4" s="41" t="s">
        <v>1720</v>
      </c>
      <c r="K4" s="41" t="s">
        <v>1721</v>
      </c>
      <c r="L4" s="41" t="s">
        <v>1722</v>
      </c>
      <c r="M4" s="41" t="s">
        <v>1723</v>
      </c>
      <c r="N4" s="41" t="s">
        <v>583</v>
      </c>
      <c r="O4" s="41" t="s">
        <v>1724</v>
      </c>
      <c r="P4" s="41" t="s">
        <v>1725</v>
      </c>
      <c r="Q4" s="41" t="s">
        <v>1726</v>
      </c>
      <c r="R4" s="41" t="s">
        <v>1727</v>
      </c>
      <c r="S4" s="41" t="s">
        <v>1728</v>
      </c>
      <c r="T4" s="41" t="s">
        <v>1729</v>
      </c>
      <c r="U4" s="41" t="s">
        <v>1730</v>
      </c>
      <c r="V4" s="41" t="s">
        <v>1731</v>
      </c>
      <c r="W4" s="41" t="s">
        <v>98</v>
      </c>
    </row>
    <row r="5" customFormat="false" ht="15" hidden="false" customHeight="true" outlineLevel="0" collapsed="false">
      <c r="A5" s="20" t="s">
        <v>1732</v>
      </c>
      <c r="B5" s="20" t="s">
        <v>1733</v>
      </c>
      <c r="C5" s="20" t="s">
        <v>599</v>
      </c>
      <c r="D5" s="20" t="s">
        <v>1734</v>
      </c>
      <c r="E5" s="20" t="s">
        <v>1735</v>
      </c>
      <c r="F5" s="42" t="n">
        <v>850000</v>
      </c>
      <c r="G5" s="42" t="n">
        <v>120000</v>
      </c>
      <c r="H5" s="42" t="n">
        <v>95000</v>
      </c>
      <c r="I5" s="42" t="n">
        <v>2500</v>
      </c>
      <c r="J5" s="42" t="n">
        <v>2.1</v>
      </c>
      <c r="K5" s="20" t="s">
        <v>1736</v>
      </c>
      <c r="L5" s="20" t="s">
        <v>691</v>
      </c>
      <c r="M5" s="20" t="s">
        <v>1737</v>
      </c>
      <c r="N5" s="42" t="n">
        <v>2024</v>
      </c>
      <c r="O5" s="20" t="s">
        <v>1738</v>
      </c>
      <c r="P5" s="42" t="n">
        <v>50</v>
      </c>
      <c r="Q5" s="42" t="n">
        <v>30</v>
      </c>
      <c r="R5" s="42" t="n">
        <v>20</v>
      </c>
      <c r="S5" s="35" t="n">
        <f aca="false">IF(P5+Q5+R5&gt;0,(F5+G5)*P5/(P5+Q5+R5),"")</f>
        <v>485000</v>
      </c>
      <c r="T5" s="35" t="n">
        <f aca="false">IF(P5+Q5+R5&gt;0,(F5+G5)*Q5/(P5+Q5+R5),"")</f>
        <v>291000</v>
      </c>
      <c r="U5" s="35" t="n">
        <f aca="false">IF(P5+Q5+R5&gt;0,(F5+G5)*R5/(P5+Q5+R5),"")</f>
        <v>194000</v>
      </c>
      <c r="V5" s="35" t="n">
        <f aca="false">IFERROR(S5+T5+U5,"")</f>
        <v>970000</v>
      </c>
    </row>
    <row r="6" customFormat="false" ht="15" hidden="false" customHeight="true" outlineLevel="0" collapsed="false">
      <c r="A6" s="15" t="s">
        <v>1739</v>
      </c>
      <c r="B6" s="15" t="s">
        <v>1740</v>
      </c>
      <c r="C6" s="15" t="s">
        <v>599</v>
      </c>
      <c r="D6" s="15" t="s">
        <v>1741</v>
      </c>
      <c r="E6" s="15" t="s">
        <v>1742</v>
      </c>
      <c r="F6" s="43" t="n">
        <v>18000</v>
      </c>
      <c r="G6" s="43" t="n">
        <v>5500</v>
      </c>
      <c r="H6" s="43" t="n">
        <v>4200</v>
      </c>
      <c r="I6" s="43" t="n">
        <v>450</v>
      </c>
      <c r="J6" s="43" t="n">
        <v>0.082</v>
      </c>
      <c r="K6" s="15" t="s">
        <v>1743</v>
      </c>
      <c r="L6" s="15" t="s">
        <v>691</v>
      </c>
      <c r="M6" s="15" t="s">
        <v>1744</v>
      </c>
      <c r="N6" s="43" t="n">
        <v>2024</v>
      </c>
      <c r="O6" s="15" t="s">
        <v>1738</v>
      </c>
      <c r="P6" s="43" t="n">
        <v>80</v>
      </c>
      <c r="Q6" s="43" t="n">
        <v>40</v>
      </c>
      <c r="R6" s="43" t="n">
        <v>30</v>
      </c>
      <c r="S6" s="35" t="n">
        <f aca="false">IF(P6+Q6+R6&gt;0,(F6+G6)*P6/(P6+Q6+R6),"")</f>
        <v>12533.3333333333</v>
      </c>
      <c r="T6" s="35" t="n">
        <f aca="false">IF(P6+Q6+R6&gt;0,(F6+G6)*Q6/(P6+Q6+R6),"")</f>
        <v>6266.66666666667</v>
      </c>
      <c r="U6" s="35" t="n">
        <f aca="false">IF(P6+Q6+R6&gt;0,(F6+G6)*R6/(P6+Q6+R6),"")</f>
        <v>4700</v>
      </c>
      <c r="V6" s="35" t="n">
        <f aca="false">IFERROR(S6+T6+U6,"")</f>
        <v>23500</v>
      </c>
    </row>
    <row r="7" customFormat="false" ht="15" hidden="false" customHeight="true" outlineLevel="0" collapsed="false">
      <c r="A7" s="20" t="s">
        <v>1745</v>
      </c>
      <c r="B7" s="20" t="s">
        <v>1746</v>
      </c>
      <c r="C7" s="20" t="s">
        <v>599</v>
      </c>
      <c r="D7" s="20" t="s">
        <v>1747</v>
      </c>
      <c r="E7" s="20" t="s">
        <v>1735</v>
      </c>
      <c r="F7" s="42" t="n">
        <v>42000</v>
      </c>
      <c r="G7" s="42" t="n">
        <v>28000</v>
      </c>
      <c r="H7" s="42" t="n">
        <v>22000</v>
      </c>
      <c r="I7" s="42" t="n">
        <v>380</v>
      </c>
      <c r="J7" s="42" t="n">
        <v>3.4</v>
      </c>
      <c r="K7" s="20" t="s">
        <v>1736</v>
      </c>
      <c r="L7" s="20" t="s">
        <v>1748</v>
      </c>
      <c r="M7" s="20" t="s">
        <v>1749</v>
      </c>
      <c r="N7" s="42" t="n">
        <v>2024</v>
      </c>
      <c r="O7" s="20" t="s">
        <v>1750</v>
      </c>
      <c r="P7" s="42" t="n">
        <v>60</v>
      </c>
      <c r="Q7" s="42" t="n">
        <v>15</v>
      </c>
      <c r="R7" s="42" t="n">
        <v>0</v>
      </c>
      <c r="S7" s="35" t="n">
        <f aca="false">IF(P7+Q7+R7&gt;0,(F7+G7)*P7/(P7+Q7+R7),"")</f>
        <v>56000</v>
      </c>
      <c r="T7" s="35" t="n">
        <f aca="false">IF(P7+Q7+R7&gt;0,(F7+G7)*Q7/(P7+Q7+R7),"")</f>
        <v>14000</v>
      </c>
      <c r="U7" s="35" t="n">
        <f aca="false">IF(P7+Q7+R7&gt;0,(F7+G7)*R7/(P7+Q7+R7),"")</f>
        <v>0</v>
      </c>
      <c r="V7" s="35" t="n">
        <f aca="false">IFERROR(S7+T7+U7,"")</f>
        <v>70000</v>
      </c>
    </row>
    <row r="8" customFormat="false" ht="15" hidden="false" customHeight="true" outlineLevel="0" collapsed="false">
      <c r="A8" s="15" t="s">
        <v>1751</v>
      </c>
      <c r="B8" s="15" t="s">
        <v>1752</v>
      </c>
      <c r="C8" s="15" t="s">
        <v>1753</v>
      </c>
      <c r="D8" s="15" t="s">
        <v>1754</v>
      </c>
      <c r="E8" s="15" t="s">
        <v>1742</v>
      </c>
      <c r="F8" s="43" t="n">
        <v>95000</v>
      </c>
      <c r="G8" s="43" t="n">
        <v>12000</v>
      </c>
      <c r="H8" s="43" t="n">
        <v>9500</v>
      </c>
      <c r="I8" s="43" t="n">
        <v>1800</v>
      </c>
      <c r="J8" s="43" t="n">
        <v>0.012</v>
      </c>
      <c r="K8" s="15" t="s">
        <v>1755</v>
      </c>
      <c r="L8" s="15" t="s">
        <v>691</v>
      </c>
      <c r="M8" s="15" t="s">
        <v>1756</v>
      </c>
      <c r="N8" s="43" t="n">
        <v>2024</v>
      </c>
      <c r="O8" s="15" t="s">
        <v>1738</v>
      </c>
      <c r="P8" s="43" t="n">
        <v>0</v>
      </c>
      <c r="Q8" s="43" t="n">
        <v>120</v>
      </c>
      <c r="R8" s="43" t="n">
        <v>45</v>
      </c>
      <c r="S8" s="35" t="n">
        <f aca="false">IF(P8+Q8+R8&gt;0,(F8+G8)*P8/(P8+Q8+R8),"")</f>
        <v>0</v>
      </c>
      <c r="T8" s="35" t="n">
        <f aca="false">IF(P8+Q8+R8&gt;0,(F8+G8)*Q8/(P8+Q8+R8),"")</f>
        <v>77818.1818181818</v>
      </c>
      <c r="U8" s="35" t="n">
        <f aca="false">IF(P8+Q8+R8&gt;0,(F8+G8)*R8/(P8+Q8+R8),"")</f>
        <v>29181.8181818182</v>
      </c>
      <c r="V8" s="35" t="n">
        <f aca="false">IFERROR(S8+T8+U8,"")</f>
        <v>107000</v>
      </c>
    </row>
    <row r="9" customFormat="false" ht="15" hidden="false" customHeight="true" outlineLevel="0" collapsed="false">
      <c r="A9" s="20" t="s">
        <v>1757</v>
      </c>
      <c r="B9" s="20" t="s">
        <v>1758</v>
      </c>
      <c r="C9" s="20" t="s">
        <v>599</v>
      </c>
      <c r="D9" s="20" t="s">
        <v>1759</v>
      </c>
      <c r="E9" s="20" t="s">
        <v>1735</v>
      </c>
      <c r="F9" s="42" t="n">
        <v>0</v>
      </c>
      <c r="G9" s="42" t="n">
        <v>0</v>
      </c>
      <c r="H9" s="42" t="n">
        <v>0</v>
      </c>
      <c r="I9" s="42" t="n">
        <v>0</v>
      </c>
      <c r="J9" s="42" t="n">
        <v>1.2</v>
      </c>
      <c r="K9" s="20" t="s">
        <v>1736</v>
      </c>
      <c r="L9" s="20" t="s">
        <v>1760</v>
      </c>
      <c r="M9" s="20" t="s">
        <v>1761</v>
      </c>
      <c r="N9" s="42" t="n">
        <v>2023</v>
      </c>
      <c r="O9" s="20" t="s">
        <v>136</v>
      </c>
      <c r="P9" s="42" t="n">
        <v>25</v>
      </c>
      <c r="Q9" s="42" t="n">
        <v>25</v>
      </c>
      <c r="R9" s="42" t="n">
        <v>10</v>
      </c>
      <c r="S9" s="35" t="n">
        <f aca="false">IF(P9+Q9+R9&gt;0,(F9+G9)*P9/(P9+Q9+R9),"")</f>
        <v>0</v>
      </c>
      <c r="T9" s="35" t="n">
        <f aca="false">IF(P9+Q9+R9&gt;0,(F9+G9)*Q9/(P9+Q9+R9),"")</f>
        <v>0</v>
      </c>
      <c r="U9" s="35" t="n">
        <f aca="false">IF(P9+Q9+R9&gt;0,(F9+G9)*R9/(P9+Q9+R9),"")</f>
        <v>0</v>
      </c>
      <c r="V9" s="35" t="n">
        <f aca="false">IFERROR(S9+T9+U9,"")</f>
        <v>0</v>
      </c>
    </row>
    <row r="10" customFormat="false" ht="15" hidden="false" customHeight="true" outlineLevel="0" collapsed="false">
      <c r="A10" s="15" t="s">
        <v>1762</v>
      </c>
      <c r="B10" s="15" t="s">
        <v>1763</v>
      </c>
      <c r="C10" s="15" t="s">
        <v>599</v>
      </c>
      <c r="D10" s="15" t="s">
        <v>1764</v>
      </c>
      <c r="E10" s="15" t="s">
        <v>1735</v>
      </c>
      <c r="F10" s="43" t="n">
        <v>5200</v>
      </c>
      <c r="G10" s="43" t="n">
        <v>8800</v>
      </c>
      <c r="H10" s="43" t="n">
        <v>6200</v>
      </c>
      <c r="I10" s="43" t="n">
        <v>850</v>
      </c>
      <c r="J10" s="43" t="n">
        <v>0.18</v>
      </c>
      <c r="K10" s="15" t="s">
        <v>1765</v>
      </c>
      <c r="L10" s="15" t="s">
        <v>1748</v>
      </c>
      <c r="M10" s="15" t="s">
        <v>1766</v>
      </c>
      <c r="N10" s="43" t="n">
        <v>2024</v>
      </c>
      <c r="O10" s="15" t="s">
        <v>1738</v>
      </c>
      <c r="P10" s="43" t="n">
        <v>120</v>
      </c>
      <c r="Q10" s="43" t="n">
        <v>60</v>
      </c>
      <c r="R10" s="43" t="n">
        <v>0</v>
      </c>
      <c r="S10" s="35" t="n">
        <f aca="false">IF(P10+Q10+R10&gt;0,(F10+G10)*P10/(P10+Q10+R10),"")</f>
        <v>9333.33333333333</v>
      </c>
      <c r="T10" s="35" t="n">
        <f aca="false">IF(P10+Q10+R10&gt;0,(F10+G10)*Q10/(P10+Q10+R10),"")</f>
        <v>4666.66666666667</v>
      </c>
      <c r="U10" s="35" t="n">
        <f aca="false">IF(P10+Q10+R10&gt;0,(F10+G10)*R10/(P10+Q10+R10),"")</f>
        <v>0</v>
      </c>
      <c r="V10" s="35" t="n">
        <f aca="false">IFERROR(S10+T10+U10,"")</f>
        <v>14000</v>
      </c>
    </row>
    <row r="11" customFormat="false" ht="18" hidden="false" customHeight="true" outlineLevel="0" collapsed="false">
      <c r="A11" s="23" t="s">
        <v>430</v>
      </c>
      <c r="B11" s="23"/>
      <c r="C11" s="23"/>
      <c r="D11" s="23"/>
      <c r="E11" s="23"/>
      <c r="F11" s="44" t="n">
        <f aca="false">SUM(F5:F10)</f>
        <v>1010200</v>
      </c>
      <c r="G11" s="44" t="n">
        <f aca="false">SUM(G5:G10)</f>
        <v>174300</v>
      </c>
      <c r="H11" s="44" t="n">
        <f aca="false">SUM(H5:H10)</f>
        <v>136900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44" t="n">
        <f aca="false">SUM(S5:S10)</f>
        <v>562866.666666667</v>
      </c>
      <c r="T11" s="44" t="n">
        <f aca="false">SUM(T5:T10)</f>
        <v>393751.515151515</v>
      </c>
      <c r="U11" s="44" t="n">
        <f aca="false">SUM(U5:U10)</f>
        <v>227881.818181818</v>
      </c>
      <c r="V11" s="44" t="n">
        <f aca="false">SUM(V5:V10)</f>
        <v>1184500</v>
      </c>
      <c r="W11" s="2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13" min="5" style="1" width="14"/>
    <col collapsed="false" customWidth="true" hidden="false" outlineLevel="0" max="14" min="14" style="1" width="16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24"/>
    <col collapsed="false" customWidth="true" hidden="false" outlineLevel="0" max="26" min="18" style="1" width="8.71"/>
  </cols>
  <sheetData>
    <row r="1" customFormat="false" ht="27.75" hidden="false" customHeight="true" outlineLevel="0" collapsed="false">
      <c r="A1" s="10" t="s">
        <v>1767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customFormat="false" ht="19.5" hidden="false" customHeight="true" outlineLevel="0" collapsed="false">
      <c r="A2" s="45" t="s">
        <v>1768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customFormat="false" ht="6" hidden="false" customHeight="true" outlineLevel="0" collapsed="false"/>
    <row r="4" customFormat="false" ht="36" hidden="false" customHeight="true" outlineLevel="0" collapsed="false">
      <c r="A4" s="41" t="s">
        <v>1769</v>
      </c>
      <c r="B4" s="41" t="s">
        <v>1770</v>
      </c>
      <c r="C4" s="41" t="s">
        <v>1771</v>
      </c>
      <c r="D4" s="41" t="s">
        <v>1772</v>
      </c>
      <c r="E4" s="41" t="s">
        <v>1773</v>
      </c>
      <c r="F4" s="41" t="s">
        <v>1774</v>
      </c>
      <c r="G4" s="41" t="s">
        <v>1775</v>
      </c>
      <c r="H4" s="41" t="s">
        <v>1776</v>
      </c>
      <c r="I4" s="41" t="s">
        <v>1777</v>
      </c>
      <c r="J4" s="41" t="s">
        <v>1778</v>
      </c>
      <c r="K4" s="41" t="s">
        <v>1779</v>
      </c>
      <c r="L4" s="41" t="s">
        <v>1780</v>
      </c>
      <c r="M4" s="41" t="s">
        <v>1781</v>
      </c>
      <c r="N4" s="41" t="s">
        <v>1782</v>
      </c>
      <c r="O4" s="41" t="s">
        <v>1722</v>
      </c>
      <c r="P4" s="41" t="s">
        <v>1783</v>
      </c>
      <c r="Q4" s="41" t="s">
        <v>98</v>
      </c>
    </row>
    <row r="5" customFormat="false" ht="19.5" hidden="false" customHeight="true" outlineLevel="0" collapsed="false">
      <c r="A5" s="46" t="n">
        <v>1</v>
      </c>
      <c r="B5" s="46" t="s">
        <v>1784</v>
      </c>
      <c r="C5" s="47" t="s">
        <v>1785</v>
      </c>
      <c r="D5" s="46" t="s">
        <v>1786</v>
      </c>
      <c r="E5" s="48" t="n">
        <v>3200000</v>
      </c>
      <c r="F5" s="48" t="n">
        <v>12400</v>
      </c>
      <c r="G5" s="49" t="n">
        <v>0.42</v>
      </c>
      <c r="H5" s="48" t="n">
        <v>1800000</v>
      </c>
      <c r="I5" s="48" t="n">
        <v>7200</v>
      </c>
      <c r="J5" s="49" t="n">
        <v>0.38</v>
      </c>
      <c r="K5" s="48" t="n">
        <v>950000</v>
      </c>
      <c r="L5" s="48" t="n">
        <v>3100</v>
      </c>
      <c r="M5" s="49" t="n">
        <v>0.51</v>
      </c>
      <c r="N5" s="50" t="s">
        <v>149</v>
      </c>
      <c r="O5" s="50" t="s">
        <v>149</v>
      </c>
      <c r="P5" s="50" t="s">
        <v>149</v>
      </c>
      <c r="Q5" s="50" t="s">
        <v>149</v>
      </c>
    </row>
    <row r="6" customFormat="false" ht="19.5" hidden="false" customHeight="true" outlineLevel="0" collapsed="false">
      <c r="A6" s="46" t="n">
        <v>2</v>
      </c>
      <c r="B6" s="46" t="s">
        <v>1787</v>
      </c>
      <c r="C6" s="47" t="s">
        <v>1785</v>
      </c>
      <c r="D6" s="46" t="s">
        <v>1786</v>
      </c>
      <c r="E6" s="51" t="n">
        <v>450000</v>
      </c>
      <c r="F6" s="51" t="n">
        <v>820</v>
      </c>
      <c r="G6" s="52" t="n">
        <v>0.03</v>
      </c>
      <c r="H6" s="51" t="n">
        <v>280000</v>
      </c>
      <c r="I6" s="51" t="n">
        <v>510</v>
      </c>
      <c r="J6" s="52" t="n">
        <v>0.027</v>
      </c>
      <c r="K6" s="51" t="n">
        <v>190000</v>
      </c>
      <c r="L6" s="51" t="n">
        <v>340</v>
      </c>
      <c r="M6" s="52" t="n">
        <v>0.056</v>
      </c>
      <c r="N6" s="53" t="s">
        <v>149</v>
      </c>
      <c r="O6" s="53" t="s">
        <v>149</v>
      </c>
      <c r="P6" s="53" t="s">
        <v>149</v>
      </c>
      <c r="Q6" s="53" t="s">
        <v>149</v>
      </c>
    </row>
    <row r="7" customFormat="false" ht="19.5" hidden="false" customHeight="true" outlineLevel="0" collapsed="false">
      <c r="A7" s="46" t="n">
        <v>3</v>
      </c>
      <c r="B7" s="46" t="s">
        <v>1788</v>
      </c>
      <c r="C7" s="47" t="s">
        <v>1785</v>
      </c>
      <c r="D7" s="46" t="s">
        <v>1789</v>
      </c>
      <c r="E7" s="54" t="n">
        <v>0</v>
      </c>
      <c r="F7" s="48" t="n">
        <v>1850</v>
      </c>
      <c r="G7" s="49" t="n">
        <v>0.063</v>
      </c>
      <c r="H7" s="54" t="n">
        <v>0</v>
      </c>
      <c r="I7" s="48" t="n">
        <v>920</v>
      </c>
      <c r="J7" s="49" t="n">
        <v>0.049</v>
      </c>
      <c r="K7" s="54" t="n">
        <v>0</v>
      </c>
      <c r="L7" s="48" t="n">
        <v>410</v>
      </c>
      <c r="M7" s="49" t="n">
        <v>0.067</v>
      </c>
      <c r="N7" s="50" t="s">
        <v>149</v>
      </c>
      <c r="O7" s="50" t="s">
        <v>149</v>
      </c>
      <c r="P7" s="50" t="s">
        <v>149</v>
      </c>
      <c r="Q7" s="50" t="s">
        <v>149</v>
      </c>
    </row>
    <row r="8" customFormat="false" ht="19.5" hidden="false" customHeight="true" outlineLevel="0" collapsed="false">
      <c r="A8" s="46" t="n">
        <v>4</v>
      </c>
      <c r="B8" s="46" t="s">
        <v>1790</v>
      </c>
      <c r="C8" s="47" t="s">
        <v>1785</v>
      </c>
      <c r="D8" s="46" t="s">
        <v>1791</v>
      </c>
      <c r="E8" s="51" t="n">
        <v>850000</v>
      </c>
      <c r="F8" s="51" t="n">
        <v>2100</v>
      </c>
      <c r="G8" s="52" t="n">
        <v>0.072</v>
      </c>
      <c r="H8" s="51" t="n">
        <v>620000</v>
      </c>
      <c r="I8" s="51" t="n">
        <v>1540</v>
      </c>
      <c r="J8" s="52" t="n">
        <v>0.081</v>
      </c>
      <c r="K8" s="51" t="n">
        <v>320000</v>
      </c>
      <c r="L8" s="51" t="n">
        <v>780</v>
      </c>
      <c r="M8" s="52" t="n">
        <v>0.13</v>
      </c>
      <c r="N8" s="53" t="s">
        <v>149</v>
      </c>
      <c r="O8" s="53" t="s">
        <v>149</v>
      </c>
      <c r="P8" s="53" t="s">
        <v>149</v>
      </c>
      <c r="Q8" s="53" t="s">
        <v>149</v>
      </c>
    </row>
    <row r="9" customFormat="false" ht="19.5" hidden="false" customHeight="true" outlineLevel="0" collapsed="false">
      <c r="A9" s="46" t="n">
        <v>5</v>
      </c>
      <c r="B9" s="46" t="s">
        <v>1792</v>
      </c>
      <c r="C9" s="47" t="s">
        <v>1785</v>
      </c>
      <c r="D9" s="46" t="s">
        <v>1793</v>
      </c>
      <c r="E9" s="54" t="n">
        <v>0</v>
      </c>
      <c r="F9" s="48" t="n">
        <v>340</v>
      </c>
      <c r="G9" s="49" t="n">
        <v>0.012</v>
      </c>
      <c r="H9" s="54" t="n">
        <v>0</v>
      </c>
      <c r="I9" s="48" t="n">
        <v>185</v>
      </c>
      <c r="J9" s="49" t="n">
        <v>0.0097</v>
      </c>
      <c r="K9" s="54" t="n">
        <v>0</v>
      </c>
      <c r="L9" s="48" t="n">
        <v>95</v>
      </c>
      <c r="M9" s="49" t="n">
        <v>0.016</v>
      </c>
      <c r="N9" s="50" t="s">
        <v>149</v>
      </c>
      <c r="O9" s="50" t="s">
        <v>149</v>
      </c>
      <c r="P9" s="50" t="s">
        <v>149</v>
      </c>
      <c r="Q9" s="50" t="s">
        <v>149</v>
      </c>
    </row>
    <row r="10" customFormat="false" ht="19.5" hidden="false" customHeight="true" outlineLevel="0" collapsed="false">
      <c r="A10" s="46" t="n">
        <v>6</v>
      </c>
      <c r="B10" s="46" t="s">
        <v>1794</v>
      </c>
      <c r="C10" s="47" t="s">
        <v>1785</v>
      </c>
      <c r="D10" s="46" t="s">
        <v>1795</v>
      </c>
      <c r="E10" s="55" t="n">
        <v>0</v>
      </c>
      <c r="F10" s="51" t="n">
        <v>520</v>
      </c>
      <c r="G10" s="52" t="n">
        <v>0.018</v>
      </c>
      <c r="H10" s="55" t="n">
        <v>0</v>
      </c>
      <c r="I10" s="51" t="n">
        <v>285</v>
      </c>
      <c r="J10" s="52" t="n">
        <v>0.015</v>
      </c>
      <c r="K10" s="55" t="n">
        <v>0</v>
      </c>
      <c r="L10" s="51" t="n">
        <v>140</v>
      </c>
      <c r="M10" s="52" t="n">
        <v>0.023</v>
      </c>
      <c r="N10" s="53" t="s">
        <v>149</v>
      </c>
      <c r="O10" s="53" t="s">
        <v>149</v>
      </c>
      <c r="P10" s="53" t="s">
        <v>149</v>
      </c>
      <c r="Q10" s="53" t="s">
        <v>149</v>
      </c>
    </row>
    <row r="11" customFormat="false" ht="19.5" hidden="false" customHeight="true" outlineLevel="0" collapsed="false">
      <c r="A11" s="46" t="n">
        <v>7</v>
      </c>
      <c r="B11" s="46" t="s">
        <v>1796</v>
      </c>
      <c r="C11" s="47" t="s">
        <v>1785</v>
      </c>
      <c r="D11" s="46" t="s">
        <v>1797</v>
      </c>
      <c r="E11" s="54" t="n">
        <v>0</v>
      </c>
      <c r="F11" s="48" t="n">
        <v>680</v>
      </c>
      <c r="G11" s="49" t="n">
        <v>0.023</v>
      </c>
      <c r="H11" s="54" t="n">
        <v>0</v>
      </c>
      <c r="I11" s="48" t="n">
        <v>390</v>
      </c>
      <c r="J11" s="49" t="n">
        <v>0.021</v>
      </c>
      <c r="K11" s="54" t="n">
        <v>0</v>
      </c>
      <c r="L11" s="48" t="n">
        <v>210</v>
      </c>
      <c r="M11" s="49" t="n">
        <v>0.034</v>
      </c>
      <c r="N11" s="50" t="s">
        <v>149</v>
      </c>
      <c r="O11" s="50" t="s">
        <v>149</v>
      </c>
      <c r="P11" s="50" t="s">
        <v>149</v>
      </c>
      <c r="Q11" s="50" t="s">
        <v>149</v>
      </c>
    </row>
    <row r="12" customFormat="false" ht="19.5" hidden="false" customHeight="true" outlineLevel="0" collapsed="false">
      <c r="A12" s="46" t="n">
        <v>8</v>
      </c>
      <c r="B12" s="46" t="s">
        <v>1798</v>
      </c>
      <c r="C12" s="47" t="s">
        <v>1785</v>
      </c>
      <c r="D12" s="46" t="s">
        <v>1799</v>
      </c>
      <c r="E12" s="55" t="n">
        <v>0</v>
      </c>
      <c r="F12" s="51" t="n">
        <v>180</v>
      </c>
      <c r="G12" s="52" t="n">
        <v>0.006</v>
      </c>
      <c r="H12" s="55" t="n">
        <v>0</v>
      </c>
      <c r="I12" s="51" t="n">
        <v>95</v>
      </c>
      <c r="J12" s="52" t="n">
        <v>0.005</v>
      </c>
      <c r="K12" s="55" t="n">
        <v>0</v>
      </c>
      <c r="L12" s="55" t="n">
        <v>0</v>
      </c>
      <c r="M12" s="55" t="n">
        <v>0</v>
      </c>
      <c r="N12" s="53" t="s">
        <v>149</v>
      </c>
      <c r="O12" s="53" t="s">
        <v>149</v>
      </c>
      <c r="P12" s="53" t="s">
        <v>149</v>
      </c>
      <c r="Q12" s="53" t="s">
        <v>149</v>
      </c>
    </row>
    <row r="13" customFormat="false" ht="19.5" hidden="false" customHeight="true" outlineLevel="0" collapsed="false">
      <c r="A13" s="56" t="n">
        <v>9</v>
      </c>
      <c r="B13" s="56" t="s">
        <v>1800</v>
      </c>
      <c r="C13" s="57" t="s">
        <v>1801</v>
      </c>
      <c r="D13" s="56" t="s">
        <v>1791</v>
      </c>
      <c r="E13" s="48" t="n">
        <v>620000</v>
      </c>
      <c r="F13" s="48" t="n">
        <v>1450</v>
      </c>
      <c r="G13" s="49" t="n">
        <v>0.05</v>
      </c>
      <c r="H13" s="48" t="n">
        <v>480000</v>
      </c>
      <c r="I13" s="48" t="n">
        <v>1100</v>
      </c>
      <c r="J13" s="49" t="n">
        <v>0.058</v>
      </c>
      <c r="K13" s="48" t="n">
        <v>280000</v>
      </c>
      <c r="L13" s="48" t="n">
        <v>640</v>
      </c>
      <c r="M13" s="49" t="n">
        <v>0.105</v>
      </c>
      <c r="N13" s="50" t="s">
        <v>149</v>
      </c>
      <c r="O13" s="50" t="s">
        <v>149</v>
      </c>
      <c r="P13" s="50" t="s">
        <v>149</v>
      </c>
      <c r="Q13" s="50" t="s">
        <v>149</v>
      </c>
    </row>
    <row r="14" customFormat="false" ht="19.5" hidden="false" customHeight="true" outlineLevel="0" collapsed="false">
      <c r="A14" s="56" t="n">
        <v>10</v>
      </c>
      <c r="B14" s="56" t="s">
        <v>1802</v>
      </c>
      <c r="C14" s="57" t="s">
        <v>1801</v>
      </c>
      <c r="D14" s="56" t="s">
        <v>1803</v>
      </c>
      <c r="E14" s="55" t="n">
        <v>0</v>
      </c>
      <c r="F14" s="55" t="n">
        <v>0</v>
      </c>
      <c r="G14" s="55" t="n">
        <v>0</v>
      </c>
      <c r="H14" s="55" t="n">
        <v>0</v>
      </c>
      <c r="I14" s="51" t="n">
        <v>210</v>
      </c>
      <c r="J14" s="52" t="n">
        <v>0.011</v>
      </c>
      <c r="K14" s="55" t="n">
        <v>0</v>
      </c>
      <c r="L14" s="55" t="n">
        <v>0</v>
      </c>
      <c r="M14" s="55" t="n">
        <v>0</v>
      </c>
      <c r="N14" s="53" t="s">
        <v>149</v>
      </c>
      <c r="O14" s="53" t="s">
        <v>149</v>
      </c>
      <c r="P14" s="53" t="s">
        <v>149</v>
      </c>
      <c r="Q14" s="53" t="s">
        <v>149</v>
      </c>
    </row>
    <row r="15" customFormat="false" ht="19.5" hidden="false" customHeight="true" outlineLevel="0" collapsed="false">
      <c r="A15" s="56" t="n">
        <v>11</v>
      </c>
      <c r="B15" s="56" t="s">
        <v>1804</v>
      </c>
      <c r="C15" s="57" t="s">
        <v>1801</v>
      </c>
      <c r="D15" s="56" t="s">
        <v>1805</v>
      </c>
      <c r="E15" s="54" t="n">
        <v>0</v>
      </c>
      <c r="F15" s="48" t="n">
        <v>5200</v>
      </c>
      <c r="G15" s="49" t="n">
        <v>0.178</v>
      </c>
      <c r="H15" s="54" t="n">
        <v>0</v>
      </c>
      <c r="I15" s="48" t="n">
        <v>4100</v>
      </c>
      <c r="J15" s="49" t="n">
        <v>0.216</v>
      </c>
      <c r="K15" s="54" t="n">
        <v>0</v>
      </c>
      <c r="L15" s="48" t="n">
        <v>820</v>
      </c>
      <c r="M15" s="49" t="n">
        <v>0.134</v>
      </c>
      <c r="N15" s="50" t="s">
        <v>149</v>
      </c>
      <c r="O15" s="50" t="s">
        <v>149</v>
      </c>
      <c r="P15" s="50" t="s">
        <v>149</v>
      </c>
      <c r="Q15" s="50" t="s">
        <v>149</v>
      </c>
    </row>
    <row r="16" customFormat="false" ht="19.5" hidden="false" customHeight="true" outlineLevel="0" collapsed="false">
      <c r="A16" s="56" t="n">
        <v>12</v>
      </c>
      <c r="B16" s="56" t="s">
        <v>1806</v>
      </c>
      <c r="C16" s="57" t="s">
        <v>1801</v>
      </c>
      <c r="D16" s="56" t="s">
        <v>1807</v>
      </c>
      <c r="E16" s="55" t="n">
        <v>0</v>
      </c>
      <c r="F16" s="51" t="n">
        <v>380</v>
      </c>
      <c r="G16" s="52" t="n">
        <v>0.013</v>
      </c>
      <c r="H16" s="55" t="n">
        <v>0</v>
      </c>
      <c r="I16" s="51" t="n">
        <v>290</v>
      </c>
      <c r="J16" s="52" t="n">
        <v>0.015</v>
      </c>
      <c r="K16" s="55" t="n">
        <v>0</v>
      </c>
      <c r="L16" s="51" t="n">
        <v>95</v>
      </c>
      <c r="M16" s="52" t="n">
        <v>0.016</v>
      </c>
      <c r="N16" s="53" t="s">
        <v>149</v>
      </c>
      <c r="O16" s="53" t="s">
        <v>149</v>
      </c>
      <c r="P16" s="53" t="s">
        <v>149</v>
      </c>
      <c r="Q16" s="53" t="s">
        <v>149</v>
      </c>
    </row>
    <row r="17" customFormat="false" ht="19.5" hidden="false" customHeight="true" outlineLevel="0" collapsed="false">
      <c r="A17" s="56" t="n">
        <v>13</v>
      </c>
      <c r="B17" s="56" t="s">
        <v>1808</v>
      </c>
      <c r="C17" s="57" t="s">
        <v>1801</v>
      </c>
      <c r="D17" s="56" t="s">
        <v>1799</v>
      </c>
      <c r="E17" s="54" t="n">
        <v>0</v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0" t="s">
        <v>149</v>
      </c>
      <c r="O17" s="50" t="s">
        <v>149</v>
      </c>
      <c r="P17" s="50" t="s">
        <v>149</v>
      </c>
      <c r="Q17" s="50" t="s">
        <v>149</v>
      </c>
    </row>
    <row r="18" customFormat="false" ht="19.5" hidden="false" customHeight="true" outlineLevel="0" collapsed="false">
      <c r="A18" s="56" t="n">
        <v>14</v>
      </c>
      <c r="B18" s="56" t="s">
        <v>1809</v>
      </c>
      <c r="C18" s="57" t="s">
        <v>1801</v>
      </c>
      <c r="D18" s="56" t="s">
        <v>1810</v>
      </c>
      <c r="E18" s="55" t="n">
        <v>0</v>
      </c>
      <c r="F18" s="55" t="n">
        <v>0</v>
      </c>
      <c r="G18" s="55" t="n">
        <v>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3" t="s">
        <v>149</v>
      </c>
      <c r="O18" s="53" t="s">
        <v>149</v>
      </c>
      <c r="P18" s="53" t="s">
        <v>149</v>
      </c>
      <c r="Q18" s="53" t="s">
        <v>149</v>
      </c>
    </row>
    <row r="19" customFormat="false" ht="19.5" hidden="false" customHeight="true" outlineLevel="0" collapsed="false">
      <c r="A19" s="56" t="n">
        <v>15</v>
      </c>
      <c r="B19" s="56" t="s">
        <v>1811</v>
      </c>
      <c r="C19" s="57" t="s">
        <v>1801</v>
      </c>
      <c r="D19" s="56" t="s">
        <v>1812</v>
      </c>
      <c r="E19" s="54" t="n">
        <v>0</v>
      </c>
      <c r="F19" s="48" t="n">
        <v>4200</v>
      </c>
      <c r="G19" s="49" t="n">
        <v>0.144</v>
      </c>
      <c r="H19" s="54" t="n">
        <v>0</v>
      </c>
      <c r="I19" s="48" t="n">
        <v>2900</v>
      </c>
      <c r="J19" s="49" t="n">
        <v>0.153</v>
      </c>
      <c r="K19" s="54" t="n">
        <v>0</v>
      </c>
      <c r="L19" s="54" t="n">
        <v>0</v>
      </c>
      <c r="M19" s="54" t="n">
        <v>0</v>
      </c>
      <c r="N19" s="50" t="s">
        <v>149</v>
      </c>
      <c r="O19" s="50" t="s">
        <v>149</v>
      </c>
      <c r="P19" s="50" t="s">
        <v>149</v>
      </c>
      <c r="Q19" s="50" t="s">
        <v>149</v>
      </c>
    </row>
    <row r="20" customFormat="false" ht="19.5" hidden="false" customHeight="true" outlineLevel="0" collapsed="false">
      <c r="A20" s="23" t="s">
        <v>430</v>
      </c>
      <c r="B20" s="23"/>
      <c r="C20" s="23"/>
      <c r="D20" s="23"/>
      <c r="E20" s="58" t="n">
        <f aca="false">SUM(E5:E19)</f>
        <v>5120000</v>
      </c>
      <c r="F20" s="58" t="n">
        <f aca="false">SUM(F5:F19)</f>
        <v>30120</v>
      </c>
      <c r="G20" s="23"/>
      <c r="H20" s="58" t="n">
        <f aca="false">SUM(H5:H19)</f>
        <v>3180000</v>
      </c>
      <c r="I20" s="58" t="n">
        <f aca="false">SUM(I5:I19)</f>
        <v>19725</v>
      </c>
      <c r="J20" s="23"/>
      <c r="K20" s="58" t="n">
        <f aca="false">SUM(K5:K19)</f>
        <v>1740000</v>
      </c>
      <c r="L20" s="58" t="n">
        <f aca="false">SUM(L5:L19)</f>
        <v>6630</v>
      </c>
      <c r="M20" s="23"/>
      <c r="N20" s="23"/>
      <c r="O20" s="23"/>
      <c r="P20" s="23"/>
      <c r="Q20" s="2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9" min="9" style="1" width="36"/>
    <col collapsed="false" customWidth="true" hidden="false" outlineLevel="0" max="10" min="10" style="1" width="16"/>
    <col collapsed="false" customWidth="true" hidden="false" outlineLevel="0" max="14" min="11" style="1" width="6"/>
    <col collapsed="false" customWidth="true" hidden="false" outlineLevel="0" max="26" min="15" style="1" width="8.71"/>
  </cols>
  <sheetData>
    <row r="1" customFormat="false" ht="27.75" hidden="false" customHeight="true" outlineLevel="0" collapsed="false">
      <c r="A1" s="10" t="s">
        <v>1813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customFormat="false" ht="15" hidden="false" customHeight="true" outlineLevel="0" collapsed="false">
      <c r="A3" s="4" t="s">
        <v>1814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true" outlineLevel="0" collapsed="false">
      <c r="A4" s="7" t="s">
        <v>1770</v>
      </c>
      <c r="B4" s="7" t="s">
        <v>95</v>
      </c>
      <c r="C4" s="7" t="s">
        <v>1815</v>
      </c>
      <c r="D4" s="7" t="s">
        <v>1816</v>
      </c>
      <c r="E4" s="7" t="s">
        <v>1722</v>
      </c>
      <c r="F4" s="7" t="s">
        <v>1817</v>
      </c>
      <c r="G4" s="7" t="s">
        <v>1818</v>
      </c>
    </row>
    <row r="5" customFormat="false" ht="18" hidden="false" customHeight="true" outlineLevel="0" collapsed="false">
      <c r="A5" s="59" t="s">
        <v>1819</v>
      </c>
      <c r="B5" s="60" t="n">
        <v>12400</v>
      </c>
      <c r="C5" s="49" t="n">
        <f aca="false">B5/SUM(B5:B19)</f>
        <v>0.411686586985392</v>
      </c>
      <c r="D5" s="61" t="n">
        <v>-0.032</v>
      </c>
      <c r="E5" s="62" t="s">
        <v>691</v>
      </c>
      <c r="F5" s="63" t="s">
        <v>1820</v>
      </c>
      <c r="G5" s="59" t="s">
        <v>1821</v>
      </c>
    </row>
    <row r="6" customFormat="false" ht="18" hidden="false" customHeight="true" outlineLevel="0" collapsed="false">
      <c r="A6" s="64" t="s">
        <v>1822</v>
      </c>
      <c r="B6" s="65" t="n">
        <v>820</v>
      </c>
      <c r="C6" s="52" t="n">
        <f aca="false">B6/SUM(B5:B19)</f>
        <v>0.0272244355909695</v>
      </c>
      <c r="D6" s="66" t="n">
        <v>0</v>
      </c>
      <c r="E6" s="67" t="s">
        <v>691</v>
      </c>
      <c r="F6" s="53" t="s">
        <v>1823</v>
      </c>
      <c r="G6" s="64" t="s">
        <v>1824</v>
      </c>
    </row>
    <row r="7" customFormat="false" ht="18" hidden="false" customHeight="true" outlineLevel="0" collapsed="false">
      <c r="A7" s="59" t="s">
        <v>1825</v>
      </c>
      <c r="B7" s="60" t="n">
        <v>1850</v>
      </c>
      <c r="C7" s="49" t="n">
        <f aca="false">B7/SUM(B5:B19)</f>
        <v>0.0614209827357238</v>
      </c>
      <c r="D7" s="61" t="n">
        <v>-0.081</v>
      </c>
      <c r="E7" s="62" t="s">
        <v>691</v>
      </c>
      <c r="F7" s="68" t="s">
        <v>1826</v>
      </c>
      <c r="G7" s="59" t="s">
        <v>1827</v>
      </c>
    </row>
    <row r="8" customFormat="false" ht="18" hidden="false" customHeight="true" outlineLevel="0" collapsed="false">
      <c r="A8" s="64" t="s">
        <v>1828</v>
      </c>
      <c r="B8" s="65" t="n">
        <v>2100</v>
      </c>
      <c r="C8" s="52" t="n">
        <f aca="false">B8/SUM(B5:B19)</f>
        <v>0.0697211155378486</v>
      </c>
      <c r="D8" s="61" t="n">
        <v>-0.015</v>
      </c>
      <c r="E8" s="67" t="s">
        <v>691</v>
      </c>
      <c r="F8" s="68" t="s">
        <v>1826</v>
      </c>
      <c r="G8" s="64" t="s">
        <v>1829</v>
      </c>
    </row>
    <row r="9" customFormat="false" ht="18" hidden="false" customHeight="true" outlineLevel="0" collapsed="false">
      <c r="A9" s="59" t="s">
        <v>34</v>
      </c>
      <c r="B9" s="60" t="n">
        <v>340</v>
      </c>
      <c r="C9" s="49" t="n">
        <f aca="false">B9/SUM(B5:B19)</f>
        <v>0.0112881806108898</v>
      </c>
      <c r="D9" s="61" t="n">
        <v>-0.05</v>
      </c>
      <c r="E9" s="62" t="s">
        <v>1748</v>
      </c>
      <c r="F9" s="53" t="s">
        <v>1823</v>
      </c>
      <c r="G9" s="59" t="s">
        <v>1830</v>
      </c>
    </row>
    <row r="10" customFormat="false" ht="18" hidden="false" customHeight="true" outlineLevel="0" collapsed="false">
      <c r="A10" s="64" t="s">
        <v>1831</v>
      </c>
      <c r="B10" s="65" t="n">
        <v>520</v>
      </c>
      <c r="C10" s="52" t="n">
        <f aca="false">B10/SUM(B5:B19)</f>
        <v>0.0172642762284197</v>
      </c>
      <c r="D10" s="61" t="n">
        <v>-0.22</v>
      </c>
      <c r="E10" s="67" t="s">
        <v>691</v>
      </c>
      <c r="F10" s="53" t="s">
        <v>1823</v>
      </c>
      <c r="G10" s="64" t="s">
        <v>1832</v>
      </c>
    </row>
    <row r="11" customFormat="false" ht="18" hidden="false" customHeight="true" outlineLevel="0" collapsed="false">
      <c r="A11" s="59" t="s">
        <v>42</v>
      </c>
      <c r="B11" s="60" t="n">
        <v>680</v>
      </c>
      <c r="C11" s="49" t="n">
        <f aca="false">B11/SUM(B5:B19)</f>
        <v>0.0225763612217796</v>
      </c>
      <c r="D11" s="69" t="n">
        <v>0.021</v>
      </c>
      <c r="E11" s="62" t="s">
        <v>1748</v>
      </c>
      <c r="F11" s="53" t="s">
        <v>1823</v>
      </c>
      <c r="G11" s="59" t="s">
        <v>1833</v>
      </c>
    </row>
    <row r="12" customFormat="false" ht="18" hidden="false" customHeight="true" outlineLevel="0" collapsed="false">
      <c r="A12" s="64" t="s">
        <v>1834</v>
      </c>
      <c r="B12" s="65" t="n">
        <v>180</v>
      </c>
      <c r="C12" s="52" t="n">
        <f aca="false">B12/SUM(B5:B19)</f>
        <v>0.00597609561752988</v>
      </c>
      <c r="D12" s="66" t="n">
        <v>0</v>
      </c>
      <c r="E12" s="67" t="s">
        <v>1748</v>
      </c>
      <c r="F12" s="53" t="s">
        <v>1823</v>
      </c>
      <c r="G12" s="64" t="s">
        <v>1835</v>
      </c>
    </row>
    <row r="13" customFormat="false" ht="18" hidden="false" customHeight="true" outlineLevel="0" collapsed="false">
      <c r="A13" s="59" t="s">
        <v>1836</v>
      </c>
      <c r="B13" s="60" t="n">
        <v>1450</v>
      </c>
      <c r="C13" s="49" t="n">
        <f aca="false">B13/SUM(B5:B19)</f>
        <v>0.048140770252324</v>
      </c>
      <c r="D13" s="61" t="n">
        <v>-0.038</v>
      </c>
      <c r="E13" s="62" t="s">
        <v>1748</v>
      </c>
      <c r="F13" s="68" t="s">
        <v>1826</v>
      </c>
      <c r="G13" s="59" t="s">
        <v>1837</v>
      </c>
    </row>
    <row r="14" customFormat="false" ht="18" hidden="false" customHeight="true" outlineLevel="0" collapsed="false">
      <c r="A14" s="64" t="s">
        <v>52</v>
      </c>
      <c r="B14" s="65" t="n">
        <v>0</v>
      </c>
      <c r="C14" s="52" t="n">
        <f aca="false">B14/SUM(B5:B19)</f>
        <v>0</v>
      </c>
      <c r="D14" s="66" t="n">
        <v>0</v>
      </c>
      <c r="E14" s="67" t="s">
        <v>1838</v>
      </c>
      <c r="F14" s="53" t="s">
        <v>1838</v>
      </c>
      <c r="G14" s="64" t="s">
        <v>1839</v>
      </c>
    </row>
    <row r="15" customFormat="false" ht="18" hidden="false" customHeight="true" outlineLevel="0" collapsed="false">
      <c r="A15" s="59" t="s">
        <v>1840</v>
      </c>
      <c r="B15" s="60" t="n">
        <v>5200</v>
      </c>
      <c r="C15" s="49" t="n">
        <f aca="false">B15/SUM(B5:B19)</f>
        <v>0.172642762284197</v>
      </c>
      <c r="D15" s="61" t="n">
        <v>-0.062</v>
      </c>
      <c r="E15" s="62" t="s">
        <v>1748</v>
      </c>
      <c r="F15" s="63" t="s">
        <v>1820</v>
      </c>
      <c r="G15" s="59" t="s">
        <v>1841</v>
      </c>
    </row>
    <row r="16" customFormat="false" ht="18" hidden="false" customHeight="true" outlineLevel="0" collapsed="false">
      <c r="A16" s="64" t="s">
        <v>1842</v>
      </c>
      <c r="B16" s="65" t="n">
        <v>380</v>
      </c>
      <c r="C16" s="52" t="n">
        <f aca="false">B16/SUM(B5:B19)</f>
        <v>0.0126162018592297</v>
      </c>
      <c r="D16" s="69" t="n">
        <v>0.014</v>
      </c>
      <c r="E16" s="67" t="s">
        <v>1760</v>
      </c>
      <c r="F16" s="53" t="s">
        <v>1823</v>
      </c>
      <c r="G16" s="64" t="s">
        <v>1843</v>
      </c>
    </row>
    <row r="17" customFormat="false" ht="18" hidden="false" customHeight="true" outlineLevel="0" collapsed="false">
      <c r="A17" s="59" t="s">
        <v>1844</v>
      </c>
      <c r="B17" s="60" t="n">
        <v>0</v>
      </c>
      <c r="C17" s="49" t="n">
        <f aca="false">B17/SUM(B5:B19)</f>
        <v>0</v>
      </c>
      <c r="D17" s="70" t="n">
        <v>0</v>
      </c>
      <c r="E17" s="62" t="s">
        <v>1838</v>
      </c>
      <c r="F17" s="50" t="s">
        <v>1838</v>
      </c>
      <c r="G17" s="59" t="s">
        <v>1839</v>
      </c>
    </row>
    <row r="18" customFormat="false" ht="18" hidden="false" customHeight="true" outlineLevel="0" collapsed="false">
      <c r="A18" s="64" t="s">
        <v>67</v>
      </c>
      <c r="B18" s="65" t="n">
        <v>0</v>
      </c>
      <c r="C18" s="52" t="n">
        <f aca="false">B18/SUM(B5:B19)</f>
        <v>0</v>
      </c>
      <c r="D18" s="66" t="n">
        <v>0</v>
      </c>
      <c r="E18" s="67" t="s">
        <v>1838</v>
      </c>
      <c r="F18" s="53" t="s">
        <v>1838</v>
      </c>
      <c r="G18" s="64" t="s">
        <v>1839</v>
      </c>
    </row>
    <row r="19" customFormat="false" ht="18" hidden="false" customHeight="true" outlineLevel="0" collapsed="false">
      <c r="A19" s="59" t="s">
        <v>71</v>
      </c>
      <c r="B19" s="60" t="n">
        <v>4200</v>
      </c>
      <c r="C19" s="49" t="n">
        <f aca="false">B19/SUM(B5:B19)</f>
        <v>0.139442231075697</v>
      </c>
      <c r="D19" s="61" t="n">
        <v>-0.011</v>
      </c>
      <c r="E19" s="62" t="s">
        <v>1748</v>
      </c>
      <c r="F19" s="63" t="s">
        <v>1820</v>
      </c>
      <c r="G19" s="59" t="s">
        <v>1845</v>
      </c>
    </row>
    <row r="20" customFormat="false" ht="15" hidden="false" customHeight="true" outlineLevel="0" collapsed="false">
      <c r="A20" s="7" t="s">
        <v>1846</v>
      </c>
      <c r="B20" s="58" t="n">
        <f aca="false">SUM(B5:B19)</f>
        <v>30120</v>
      </c>
      <c r="C20" s="71"/>
      <c r="D20" s="71"/>
      <c r="E20" s="71"/>
      <c r="F20" s="71"/>
      <c r="G20" s="71"/>
    </row>
    <row r="21" customFormat="false" ht="15.75" hidden="false" customHeight="true" outlineLevel="0" collapsed="false"/>
    <row r="22" customFormat="false" ht="7.5" hidden="false" customHeight="true" outlineLevel="0" collapsed="false"/>
    <row r="23" customFormat="false" ht="15.75" hidden="false" customHeight="true" outlineLevel="0" collapsed="false">
      <c r="A23" s="4" t="s">
        <v>1847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.75" hidden="false" customHeight="true" outlineLevel="0" collapsed="false">
      <c r="A24" s="7" t="s">
        <v>1848</v>
      </c>
      <c r="B24" s="7" t="s">
        <v>1849</v>
      </c>
      <c r="C24" s="7" t="s">
        <v>1850</v>
      </c>
      <c r="D24" s="7" t="s">
        <v>1851</v>
      </c>
      <c r="E24" s="7" t="s">
        <v>1852</v>
      </c>
      <c r="F24" s="7" t="s">
        <v>1853</v>
      </c>
      <c r="G24" s="7" t="s">
        <v>1854</v>
      </c>
    </row>
    <row r="25" customFormat="false" ht="18" hidden="false" customHeight="true" outlineLevel="0" collapsed="false">
      <c r="A25" s="54" t="n">
        <v>2022</v>
      </c>
      <c r="B25" s="48" t="n">
        <v>29300</v>
      </c>
      <c r="C25" s="48" t="n">
        <v>29300</v>
      </c>
      <c r="D25" s="48" t="n">
        <f aca="false">IF(B25&lt;&gt;"",C25-B25,"")</f>
        <v>0</v>
      </c>
      <c r="E25" s="49" t="n">
        <f aca="false">IF(B25&lt;&gt;"",D25/B25,"")</f>
        <v>0</v>
      </c>
      <c r="F25" s="49" t="n">
        <v>0</v>
      </c>
      <c r="G25" s="72" t="s">
        <v>1855</v>
      </c>
    </row>
    <row r="26" customFormat="false" ht="18" hidden="false" customHeight="true" outlineLevel="0" collapsed="false">
      <c r="A26" s="55" t="n">
        <v>2023</v>
      </c>
      <c r="B26" s="51" t="n">
        <v>29100</v>
      </c>
      <c r="C26" s="51" t="n">
        <v>27923</v>
      </c>
      <c r="D26" s="51" t="n">
        <f aca="false">IF(B26&lt;&gt;"",C26-B26,"")</f>
        <v>-1177</v>
      </c>
      <c r="E26" s="52" t="n">
        <f aca="false">IF(B26&lt;&gt;"",D26/B26,"")</f>
        <v>-0.040446735395189</v>
      </c>
      <c r="F26" s="52" t="n">
        <v>0.047</v>
      </c>
      <c r="G26" s="73" t="s">
        <v>1856</v>
      </c>
    </row>
    <row r="27" customFormat="false" ht="18" hidden="false" customHeight="true" outlineLevel="0" collapsed="false">
      <c r="A27" s="54" t="n">
        <v>2024</v>
      </c>
      <c r="B27" s="48" t="n">
        <v>29100</v>
      </c>
      <c r="C27" s="48" t="n">
        <v>26575</v>
      </c>
      <c r="D27" s="48" t="n">
        <f aca="false">IF(B27&lt;&gt;"",C27-B27,"")</f>
        <v>-2525</v>
      </c>
      <c r="E27" s="49" t="n">
        <f aca="false">IF(B27&lt;&gt;"",D27/B27,"")</f>
        <v>-0.0867697594501718</v>
      </c>
      <c r="F27" s="49" t="n">
        <v>0.047</v>
      </c>
      <c r="G27" s="73" t="s">
        <v>1857</v>
      </c>
    </row>
    <row r="28" customFormat="false" ht="18" hidden="false" customHeight="true" outlineLevel="0" collapsed="false">
      <c r="A28" s="55" t="n">
        <v>2025</v>
      </c>
      <c r="B28" s="51"/>
      <c r="C28" s="51" t="n">
        <v>25286</v>
      </c>
      <c r="D28" s="51" t="str">
        <f aca="false">IF(B28&lt;&gt;"",C28-B28,"")</f>
        <v/>
      </c>
      <c r="E28" s="52" t="str">
        <f aca="false">IF(B28&lt;&gt;"",D28/B28,"")</f>
        <v/>
      </c>
      <c r="F28" s="52" t="n">
        <v>0.047</v>
      </c>
      <c r="G28" s="74" t="s">
        <v>1858</v>
      </c>
    </row>
    <row r="29" customFormat="false" ht="18" hidden="false" customHeight="true" outlineLevel="0" collapsed="false">
      <c r="A29" s="54" t="n">
        <v>2026</v>
      </c>
      <c r="B29" s="48"/>
      <c r="C29" s="48" t="n">
        <v>24026</v>
      </c>
      <c r="D29" s="48" t="str">
        <f aca="false">IF(B29&lt;&gt;"",C29-B29,"")</f>
        <v/>
      </c>
      <c r="E29" s="49" t="str">
        <f aca="false">IF(B29&lt;&gt;"",D29/B29,"")</f>
        <v/>
      </c>
      <c r="F29" s="49" t="n">
        <v>0.047</v>
      </c>
      <c r="G29" s="74" t="s">
        <v>1858</v>
      </c>
    </row>
    <row r="30" customFormat="false" ht="18" hidden="false" customHeight="true" outlineLevel="0" collapsed="false">
      <c r="A30" s="55" t="n">
        <v>2027</v>
      </c>
      <c r="B30" s="51"/>
      <c r="C30" s="51" t="n">
        <v>22825</v>
      </c>
      <c r="D30" s="51" t="str">
        <f aca="false">IF(B30&lt;&gt;"",C30-B30,"")</f>
        <v/>
      </c>
      <c r="E30" s="52" t="str">
        <f aca="false">IF(B30&lt;&gt;"",D30/B30,"")</f>
        <v/>
      </c>
      <c r="F30" s="52" t="n">
        <v>0.047</v>
      </c>
      <c r="G30" s="74" t="s">
        <v>1858</v>
      </c>
    </row>
    <row r="31" customFormat="false" ht="18" hidden="false" customHeight="true" outlineLevel="0" collapsed="false">
      <c r="A31" s="54" t="n">
        <v>2028</v>
      </c>
      <c r="B31" s="48"/>
      <c r="C31" s="48" t="n">
        <v>21682</v>
      </c>
      <c r="D31" s="48" t="str">
        <f aca="false">IF(B31&lt;&gt;"",C31-B31,"")</f>
        <v/>
      </c>
      <c r="E31" s="49" t="str">
        <f aca="false">IF(B31&lt;&gt;"",D31/B31,"")</f>
        <v/>
      </c>
      <c r="F31" s="49" t="n">
        <v>0.047</v>
      </c>
      <c r="G31" s="74" t="s">
        <v>1858</v>
      </c>
    </row>
    <row r="32" customFormat="false" ht="18" hidden="false" customHeight="true" outlineLevel="0" collapsed="false">
      <c r="A32" s="55" t="n">
        <v>2030</v>
      </c>
      <c r="B32" s="51"/>
      <c r="C32" s="51" t="n">
        <v>19631</v>
      </c>
      <c r="D32" s="51" t="str">
        <f aca="false">IF(B32&lt;&gt;"",C32-B32,"")</f>
        <v/>
      </c>
      <c r="E32" s="52" t="str">
        <f aca="false">IF(B32&lt;&gt;"",D32/B32,"")</f>
        <v/>
      </c>
      <c r="F32" s="52" t="n">
        <v>0.047</v>
      </c>
      <c r="G32" s="72" t="s">
        <v>1859</v>
      </c>
    </row>
    <row r="33" customFormat="false" ht="18" hidden="false" customHeight="true" outlineLevel="0" collapsed="false">
      <c r="A33" s="54" t="n">
        <v>2035</v>
      </c>
      <c r="B33" s="48"/>
      <c r="C33" s="48" t="n">
        <v>14650</v>
      </c>
      <c r="D33" s="48" t="str">
        <f aca="false">IF(B33&lt;&gt;"",C33-B33,"")</f>
        <v/>
      </c>
      <c r="E33" s="49" t="str">
        <f aca="false">IF(B33&lt;&gt;"",D33/B33,"")</f>
        <v/>
      </c>
      <c r="F33" s="49" t="n">
        <v>0.047</v>
      </c>
      <c r="G33" s="72" t="s">
        <v>1860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7.5" hidden="false" customHeight="true" outlineLevel="0" collapsed="false"/>
    <row r="37" customFormat="false" ht="15.75" hidden="false" customHeight="true" outlineLevel="0" collapsed="false">
      <c r="A37" s="4" t="s">
        <v>1861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.75" hidden="false" customHeight="true" outlineLevel="0" collapsed="false">
      <c r="A38" s="7" t="s">
        <v>614</v>
      </c>
      <c r="B38" s="7" t="s">
        <v>1862</v>
      </c>
      <c r="C38" s="7" t="s">
        <v>1863</v>
      </c>
      <c r="D38" s="7" t="s">
        <v>1864</v>
      </c>
      <c r="E38" s="7" t="s">
        <v>1865</v>
      </c>
      <c r="F38" s="7" t="s">
        <v>1866</v>
      </c>
      <c r="G38" s="7" t="s">
        <v>1867</v>
      </c>
      <c r="H38" s="7" t="s">
        <v>1868</v>
      </c>
      <c r="I38" s="7" t="s">
        <v>1869</v>
      </c>
      <c r="J38" s="7" t="s">
        <v>1870</v>
      </c>
    </row>
    <row r="39" customFormat="false" ht="19.5" hidden="false" customHeight="true" outlineLevel="0" collapsed="false">
      <c r="A39" s="20" t="s">
        <v>1732</v>
      </c>
      <c r="B39" s="48" t="n">
        <v>8200</v>
      </c>
      <c r="C39" s="49" t="n">
        <v>0.28</v>
      </c>
      <c r="D39" s="54" t="n">
        <v>4</v>
      </c>
      <c r="E39" s="54" t="s">
        <v>1871</v>
      </c>
      <c r="F39" s="49" t="n">
        <v>-4.2</v>
      </c>
      <c r="G39" s="75" t="n">
        <f aca="false">ROUND((C39*50)+((5-D39)*15)+(IF(E39="No",20,0))+MAX(0,-F39*2),0)</f>
        <v>37</v>
      </c>
      <c r="H39" s="76" t="str">
        <f aca="false">IF(G39&gt;60,"CRITICAL",IF(G39&gt;40,"HIGH",IF(G39&gt;20,"MEDIUM","LOW")))</f>
        <v>MEDIUM</v>
      </c>
      <c r="I39" s="54" t="s">
        <v>1872</v>
      </c>
      <c r="J39" s="54" t="s">
        <v>1873</v>
      </c>
    </row>
    <row r="40" customFormat="false" ht="19.5" hidden="false" customHeight="true" outlineLevel="0" collapsed="false">
      <c r="A40" s="15" t="s">
        <v>1739</v>
      </c>
      <c r="B40" s="51" t="n">
        <v>3100</v>
      </c>
      <c r="C40" s="52" t="n">
        <v>0.106</v>
      </c>
      <c r="D40" s="55" t="n">
        <v>5</v>
      </c>
      <c r="E40" s="55" t="s">
        <v>1871</v>
      </c>
      <c r="F40" s="52" t="n">
        <v>-6.1</v>
      </c>
      <c r="G40" s="75" t="n">
        <f aca="false">ROUND((C40*50)+((5-D40)*15)+(IF(E40="No",20,0))+MAX(0,-F40*2),0)</f>
        <v>18</v>
      </c>
      <c r="H40" s="76" t="str">
        <f aca="false">IF(G40&gt;60,"CRITICAL",IF(G40&gt;40,"HIGH",IF(G40&gt;20,"MEDIUM","LOW")))</f>
        <v>LOW</v>
      </c>
      <c r="I40" s="55" t="s">
        <v>1874</v>
      </c>
      <c r="J40" s="55" t="s">
        <v>1875</v>
      </c>
    </row>
    <row r="41" customFormat="false" ht="19.5" hidden="false" customHeight="true" outlineLevel="0" collapsed="false">
      <c r="A41" s="20" t="s">
        <v>1745</v>
      </c>
      <c r="B41" s="48" t="n">
        <v>5400</v>
      </c>
      <c r="C41" s="49" t="n">
        <v>0.184</v>
      </c>
      <c r="D41" s="54" t="n">
        <v>3</v>
      </c>
      <c r="E41" s="54" t="s">
        <v>1876</v>
      </c>
      <c r="F41" s="49" t="n">
        <v>-1.8</v>
      </c>
      <c r="G41" s="75" t="n">
        <f aca="false">ROUND((C41*50)+((5-D41)*15)+(IF(E41="No",20,0))+MAX(0,-F41*2),0)</f>
        <v>63</v>
      </c>
      <c r="H41" s="76" t="str">
        <f aca="false">IF(G41&gt;60,"CRITICAL",IF(G41&gt;40,"HIGH",IF(G41&gt;20,"MEDIUM","LOW")))</f>
        <v>CRITICAL</v>
      </c>
      <c r="I41" s="54" t="s">
        <v>1877</v>
      </c>
      <c r="J41" s="54" t="s">
        <v>1878</v>
      </c>
    </row>
    <row r="42" customFormat="false" ht="19.5" hidden="false" customHeight="true" outlineLevel="0" collapsed="false">
      <c r="A42" s="15" t="s">
        <v>1751</v>
      </c>
      <c r="B42" s="51" t="n">
        <v>1800</v>
      </c>
      <c r="C42" s="52" t="n">
        <v>0.061</v>
      </c>
      <c r="D42" s="55" t="n">
        <v>4</v>
      </c>
      <c r="E42" s="55" t="s">
        <v>1871</v>
      </c>
      <c r="F42" s="52" t="n">
        <v>-8.5</v>
      </c>
      <c r="G42" s="75" t="n">
        <f aca="false">ROUND((C42*50)+((5-D42)*15)+(IF(E42="No",20,0))+MAX(0,-F42*2),0)</f>
        <v>35</v>
      </c>
      <c r="H42" s="76" t="str">
        <f aca="false">IF(G42&gt;60,"CRITICAL",IF(G42&gt;40,"HIGH",IF(G42&gt;20,"MEDIUM","LOW")))</f>
        <v>MEDIUM</v>
      </c>
      <c r="I42" s="55" t="s">
        <v>1879</v>
      </c>
      <c r="J42" s="55" t="s">
        <v>1875</v>
      </c>
    </row>
    <row r="43" customFormat="false" ht="19.5" hidden="false" customHeight="true" outlineLevel="0" collapsed="false">
      <c r="A43" s="20" t="s">
        <v>1757</v>
      </c>
      <c r="B43" s="48" t="n">
        <v>2400</v>
      </c>
      <c r="C43" s="49" t="n">
        <v>0.082</v>
      </c>
      <c r="D43" s="54" t="n">
        <v>1</v>
      </c>
      <c r="E43" s="54" t="s">
        <v>1876</v>
      </c>
      <c r="F43" s="49" t="n">
        <v>0</v>
      </c>
      <c r="G43" s="75" t="n">
        <f aca="false">ROUND((C43*50)+((5-D43)*15)+(IF(E43="No",20,0))+MAX(0,-F43*2),0)</f>
        <v>84</v>
      </c>
      <c r="H43" s="76" t="str">
        <f aca="false">IF(G43&gt;60,"CRITICAL",IF(G43&gt;40,"HIGH",IF(G43&gt;20,"MEDIUM","LOW")))</f>
        <v>CRITICAL</v>
      </c>
      <c r="I43" s="54" t="s">
        <v>1880</v>
      </c>
      <c r="J43" s="54" t="s">
        <v>1878</v>
      </c>
    </row>
    <row r="44" customFormat="false" ht="19.5" hidden="false" customHeight="true" outlineLevel="0" collapsed="false">
      <c r="A44" s="15" t="s">
        <v>1762</v>
      </c>
      <c r="B44" s="51" t="n">
        <v>1100</v>
      </c>
      <c r="C44" s="52" t="n">
        <v>0.038</v>
      </c>
      <c r="D44" s="55" t="n">
        <v>3</v>
      </c>
      <c r="E44" s="55" t="s">
        <v>1876</v>
      </c>
      <c r="F44" s="52" t="n">
        <v>-2</v>
      </c>
      <c r="G44" s="75" t="n">
        <f aca="false">ROUND((C44*50)+((5-D44)*15)+(IF(E44="No",20,0))+MAX(0,-F44*2),0)</f>
        <v>56</v>
      </c>
      <c r="H44" s="76" t="str">
        <f aca="false">IF(G44&gt;60,"CRITICAL",IF(G44&gt;40,"HIGH",IF(G44&gt;20,"MEDIUM","LOW")))</f>
        <v>HIGH</v>
      </c>
      <c r="I44" s="55" t="s">
        <v>1881</v>
      </c>
      <c r="J44" s="55" t="s">
        <v>1873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N1"/>
    <mergeCell ref="A3:N3"/>
    <mergeCell ref="A23:N23"/>
    <mergeCell ref="A37:N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26" min="6" style="1" width="8.71"/>
  </cols>
  <sheetData>
    <row r="1" customFormat="false" ht="25.5" hidden="false" customHeight="true" outlineLevel="0" collapsed="false">
      <c r="A1" s="77" t="s">
        <v>1882</v>
      </c>
      <c r="B1" s="77"/>
      <c r="C1" s="77"/>
      <c r="D1" s="77"/>
      <c r="E1" s="77"/>
      <c r="F1" s="77"/>
      <c r="G1" s="77"/>
    </row>
    <row r="3" customFormat="false" ht="19.5" hidden="false" customHeight="true" outlineLevel="0" collapsed="false">
      <c r="A3" s="78" t="s">
        <v>1883</v>
      </c>
      <c r="B3" s="78"/>
      <c r="C3" s="78"/>
      <c r="D3" s="78"/>
      <c r="E3" s="78"/>
      <c r="F3" s="78"/>
      <c r="G3" s="78"/>
    </row>
    <row r="4" customFormat="false" ht="15" hidden="false" customHeight="true" outlineLevel="0" collapsed="false">
      <c r="A4" s="7" t="s">
        <v>1884</v>
      </c>
      <c r="B4" s="7" t="s">
        <v>90</v>
      </c>
      <c r="C4" s="7" t="s">
        <v>1885</v>
      </c>
      <c r="D4" s="7" t="s">
        <v>97</v>
      </c>
      <c r="E4" s="7" t="s">
        <v>98</v>
      </c>
    </row>
    <row r="5" customFormat="false" ht="18" hidden="false" customHeight="true" outlineLevel="0" collapsed="false">
      <c r="A5" s="20" t="s">
        <v>1886</v>
      </c>
      <c r="B5" s="54" t="s">
        <v>1743</v>
      </c>
      <c r="C5" s="79" t="n">
        <v>0.1133</v>
      </c>
      <c r="D5" s="54" t="s">
        <v>163</v>
      </c>
    </row>
    <row r="6" customFormat="false" ht="18" hidden="false" customHeight="true" outlineLevel="0" collapsed="false">
      <c r="A6" s="15" t="s">
        <v>1887</v>
      </c>
      <c r="B6" s="55" t="s">
        <v>1743</v>
      </c>
      <c r="C6" s="80" t="n">
        <v>0.0736</v>
      </c>
      <c r="D6" s="55" t="s">
        <v>163</v>
      </c>
    </row>
    <row r="7" customFormat="false" ht="18" hidden="false" customHeight="true" outlineLevel="0" collapsed="false">
      <c r="A7" s="20" t="s">
        <v>1888</v>
      </c>
      <c r="B7" s="54" t="s">
        <v>1743</v>
      </c>
      <c r="C7" s="79" t="n">
        <v>0.028</v>
      </c>
      <c r="D7" s="54" t="s">
        <v>163</v>
      </c>
    </row>
    <row r="8" customFormat="false" ht="18" hidden="false" customHeight="true" outlineLevel="0" collapsed="false">
      <c r="A8" s="15" t="s">
        <v>1889</v>
      </c>
      <c r="B8" s="55" t="s">
        <v>1743</v>
      </c>
      <c r="C8" s="80" t="n">
        <v>0.0035</v>
      </c>
      <c r="D8" s="55" t="s">
        <v>1890</v>
      </c>
    </row>
    <row r="9" customFormat="false" ht="18" hidden="false" customHeight="true" outlineLevel="0" collapsed="false">
      <c r="A9" s="20" t="s">
        <v>1891</v>
      </c>
      <c r="B9" s="54" t="s">
        <v>1743</v>
      </c>
      <c r="C9" s="79" t="n">
        <v>0.0119</v>
      </c>
      <c r="D9" s="54" t="s">
        <v>409</v>
      </c>
    </row>
    <row r="10" customFormat="false" ht="18" hidden="false" customHeight="true" outlineLevel="0" collapsed="false">
      <c r="A10" s="15" t="s">
        <v>1892</v>
      </c>
      <c r="B10" s="55" t="s">
        <v>1743</v>
      </c>
      <c r="C10" s="80" t="n">
        <v>0.0072</v>
      </c>
      <c r="D10" s="55" t="s">
        <v>409</v>
      </c>
    </row>
    <row r="11" customFormat="false" ht="18" hidden="false" customHeight="true" outlineLevel="0" collapsed="false">
      <c r="A11" s="20" t="s">
        <v>1893</v>
      </c>
      <c r="B11" s="54" t="s">
        <v>1743</v>
      </c>
      <c r="C11" s="79" t="n">
        <v>0.602</v>
      </c>
      <c r="D11" s="54" t="s">
        <v>163</v>
      </c>
    </row>
    <row r="12" customFormat="false" ht="18" hidden="false" customHeight="true" outlineLevel="0" collapsed="false">
      <c r="A12" s="15" t="s">
        <v>1894</v>
      </c>
      <c r="B12" s="55" t="s">
        <v>1743</v>
      </c>
      <c r="C12" s="80" t="n">
        <v>1.152</v>
      </c>
      <c r="D12" s="55" t="s">
        <v>163</v>
      </c>
    </row>
    <row r="13" customFormat="false" ht="19.5" hidden="false" customHeight="true" outlineLevel="0" collapsed="false">
      <c r="A13" s="78" t="s">
        <v>1895</v>
      </c>
      <c r="B13" s="78"/>
      <c r="C13" s="78"/>
      <c r="D13" s="78"/>
      <c r="E13" s="78"/>
      <c r="F13" s="78"/>
      <c r="G13" s="78"/>
    </row>
    <row r="14" customFormat="false" ht="15" hidden="false" customHeight="true" outlineLevel="0" collapsed="false">
      <c r="A14" s="7" t="s">
        <v>1884</v>
      </c>
      <c r="B14" s="7" t="s">
        <v>90</v>
      </c>
      <c r="C14" s="7" t="s">
        <v>1885</v>
      </c>
      <c r="D14" s="7" t="s">
        <v>97</v>
      </c>
      <c r="E14" s="7" t="s">
        <v>98</v>
      </c>
    </row>
    <row r="15" customFormat="false" ht="18" hidden="false" customHeight="true" outlineLevel="0" collapsed="false">
      <c r="A15" s="20" t="s">
        <v>1896</v>
      </c>
      <c r="B15" s="54" t="s">
        <v>1897</v>
      </c>
      <c r="C15" s="79" t="n">
        <v>0.716</v>
      </c>
      <c r="D15" s="54" t="s">
        <v>1898</v>
      </c>
    </row>
    <row r="16" customFormat="false" ht="18" hidden="false" customHeight="true" outlineLevel="0" collapsed="false">
      <c r="A16" s="15" t="s">
        <v>1899</v>
      </c>
      <c r="B16" s="55" t="s">
        <v>1897</v>
      </c>
      <c r="C16" s="80" t="n">
        <v>0.722</v>
      </c>
      <c r="D16" s="55" t="s">
        <v>1898</v>
      </c>
    </row>
    <row r="17" customFormat="false" ht="18" hidden="false" customHeight="true" outlineLevel="0" collapsed="false">
      <c r="A17" s="20" t="s">
        <v>1900</v>
      </c>
      <c r="B17" s="54" t="s">
        <v>1897</v>
      </c>
      <c r="C17" s="79" t="n">
        <v>0.02</v>
      </c>
      <c r="D17" s="54" t="s">
        <v>1901</v>
      </c>
    </row>
    <row r="18" customFormat="false" ht="18" hidden="false" customHeight="true" outlineLevel="0" collapsed="false">
      <c r="A18" s="15" t="s">
        <v>1902</v>
      </c>
      <c r="B18" s="55" t="s">
        <v>1897</v>
      </c>
      <c r="C18" s="80" t="n">
        <v>0.011</v>
      </c>
      <c r="D18" s="55" t="s">
        <v>1901</v>
      </c>
    </row>
    <row r="19" customFormat="false" ht="19.5" hidden="false" customHeight="true" outlineLevel="0" collapsed="false">
      <c r="A19" s="78" t="s">
        <v>1903</v>
      </c>
      <c r="B19" s="78"/>
      <c r="C19" s="78"/>
      <c r="D19" s="78"/>
      <c r="E19" s="78"/>
      <c r="F19" s="78"/>
      <c r="G19" s="78"/>
    </row>
    <row r="20" customFormat="false" ht="15" hidden="false" customHeight="true" outlineLevel="0" collapsed="false">
      <c r="A20" s="7" t="s">
        <v>1884</v>
      </c>
      <c r="B20" s="7" t="s">
        <v>90</v>
      </c>
      <c r="C20" s="7" t="s">
        <v>1885</v>
      </c>
      <c r="D20" s="7" t="s">
        <v>97</v>
      </c>
      <c r="E20" s="7" t="s">
        <v>98</v>
      </c>
    </row>
    <row r="21" customFormat="false" ht="18" hidden="false" customHeight="true" outlineLevel="0" collapsed="false">
      <c r="A21" s="20" t="s">
        <v>1904</v>
      </c>
      <c r="B21" s="54" t="s">
        <v>1905</v>
      </c>
      <c r="C21" s="79" t="n">
        <v>0.00255</v>
      </c>
      <c r="D21" s="54" t="s">
        <v>163</v>
      </c>
    </row>
    <row r="22" customFormat="false" ht="18" hidden="false" customHeight="true" outlineLevel="0" collapsed="false">
      <c r="A22" s="15" t="s">
        <v>1906</v>
      </c>
      <c r="B22" s="55" t="s">
        <v>1905</v>
      </c>
      <c r="C22" s="80" t="n">
        <v>0.00195</v>
      </c>
      <c r="D22" s="55" t="s">
        <v>163</v>
      </c>
    </row>
    <row r="23" customFormat="false" ht="18" hidden="false" customHeight="true" outlineLevel="0" collapsed="false">
      <c r="A23" s="20" t="s">
        <v>1907</v>
      </c>
      <c r="B23" s="54" t="s">
        <v>1905</v>
      </c>
      <c r="C23" s="79" t="n">
        <v>0.00429</v>
      </c>
      <c r="D23" s="54" t="s">
        <v>1908</v>
      </c>
    </row>
    <row r="24" customFormat="false" ht="18" hidden="false" customHeight="true" outlineLevel="0" collapsed="false">
      <c r="A24" s="15" t="s">
        <v>1909</v>
      </c>
      <c r="B24" s="55" t="s">
        <v>1910</v>
      </c>
      <c r="C24" s="80" t="n">
        <v>0.021</v>
      </c>
      <c r="D24" s="55" t="s">
        <v>1911</v>
      </c>
    </row>
    <row r="25" customFormat="false" ht="18" hidden="false" customHeight="true" outlineLevel="0" collapsed="false">
      <c r="A25" s="20" t="s">
        <v>1912</v>
      </c>
      <c r="B25" s="54" t="s">
        <v>1913</v>
      </c>
      <c r="C25" s="79" t="n">
        <v>0.00192</v>
      </c>
      <c r="D25" s="54" t="s">
        <v>163</v>
      </c>
    </row>
    <row r="26" customFormat="false" ht="19.5" hidden="false" customHeight="true" outlineLevel="0" collapsed="false">
      <c r="A26" s="78" t="s">
        <v>1914</v>
      </c>
      <c r="B26" s="78"/>
      <c r="C26" s="78"/>
      <c r="D26" s="78"/>
      <c r="E26" s="78"/>
      <c r="F26" s="78"/>
      <c r="G26" s="78"/>
    </row>
    <row r="27" customFormat="false" ht="15.75" hidden="false" customHeight="true" outlineLevel="0" collapsed="false">
      <c r="A27" s="7" t="s">
        <v>1884</v>
      </c>
      <c r="B27" s="7" t="s">
        <v>90</v>
      </c>
      <c r="C27" s="7" t="s">
        <v>1885</v>
      </c>
      <c r="D27" s="7" t="s">
        <v>97</v>
      </c>
      <c r="E27" s="7" t="s">
        <v>98</v>
      </c>
    </row>
    <row r="28" customFormat="false" ht="18" hidden="false" customHeight="true" outlineLevel="0" collapsed="false">
      <c r="A28" s="20" t="s">
        <v>1915</v>
      </c>
      <c r="B28" s="54" t="s">
        <v>1736</v>
      </c>
      <c r="C28" s="79" t="n">
        <v>0.58</v>
      </c>
      <c r="D28" s="54" t="s">
        <v>1916</v>
      </c>
    </row>
    <row r="29" customFormat="false" ht="18" hidden="false" customHeight="true" outlineLevel="0" collapsed="false">
      <c r="A29" s="15" t="s">
        <v>1917</v>
      </c>
      <c r="B29" s="55" t="s">
        <v>1736</v>
      </c>
      <c r="C29" s="80" t="n">
        <v>0.21</v>
      </c>
      <c r="D29" s="55" t="s">
        <v>1916</v>
      </c>
    </row>
    <row r="30" customFormat="false" ht="18" hidden="false" customHeight="true" outlineLevel="0" collapsed="false">
      <c r="A30" s="20" t="s">
        <v>1918</v>
      </c>
      <c r="B30" s="54" t="s">
        <v>1736</v>
      </c>
      <c r="C30" s="81" t="n">
        <v>-0.82</v>
      </c>
      <c r="D30" s="54" t="s">
        <v>1919</v>
      </c>
    </row>
    <row r="31" customFormat="false" ht="18" hidden="false" customHeight="true" outlineLevel="0" collapsed="false">
      <c r="A31" s="15" t="s">
        <v>1920</v>
      </c>
      <c r="B31" s="55" t="s">
        <v>1736</v>
      </c>
      <c r="C31" s="80" t="n">
        <v>0.1</v>
      </c>
      <c r="D31" s="55" t="s">
        <v>163</v>
      </c>
    </row>
    <row r="32" customFormat="false" ht="19.5" hidden="false" customHeight="true" outlineLevel="0" collapsed="false">
      <c r="A32" s="78" t="s">
        <v>1921</v>
      </c>
      <c r="B32" s="78"/>
      <c r="C32" s="78"/>
      <c r="D32" s="78"/>
      <c r="E32" s="78"/>
      <c r="F32" s="78"/>
      <c r="G32" s="78"/>
    </row>
    <row r="33" customFormat="false" ht="15.75" hidden="false" customHeight="true" outlineLevel="0" collapsed="false">
      <c r="A33" s="7" t="s">
        <v>1884</v>
      </c>
      <c r="B33" s="7" t="s">
        <v>90</v>
      </c>
      <c r="C33" s="7" t="s">
        <v>1885</v>
      </c>
      <c r="D33" s="7" t="s">
        <v>97</v>
      </c>
      <c r="E33" s="7" t="s">
        <v>98</v>
      </c>
    </row>
    <row r="34" customFormat="false" ht="18" hidden="false" customHeight="true" outlineLevel="0" collapsed="false">
      <c r="A34" s="20" t="s">
        <v>1922</v>
      </c>
      <c r="B34" s="54" t="s">
        <v>1736</v>
      </c>
      <c r="C34" s="79" t="n">
        <v>2.1</v>
      </c>
      <c r="D34" s="54" t="s">
        <v>104</v>
      </c>
    </row>
    <row r="35" customFormat="false" ht="18" hidden="false" customHeight="true" outlineLevel="0" collapsed="false">
      <c r="A35" s="15" t="s">
        <v>1923</v>
      </c>
      <c r="B35" s="55" t="s">
        <v>1736</v>
      </c>
      <c r="C35" s="80" t="n">
        <v>16.5</v>
      </c>
      <c r="D35" s="55" t="s">
        <v>118</v>
      </c>
    </row>
    <row r="36" customFormat="false" ht="18" hidden="false" customHeight="true" outlineLevel="0" collapsed="false">
      <c r="A36" s="20" t="s">
        <v>1924</v>
      </c>
      <c r="B36" s="54" t="s">
        <v>1736</v>
      </c>
      <c r="C36" s="79" t="n">
        <v>2</v>
      </c>
      <c r="D36" s="54" t="s">
        <v>136</v>
      </c>
    </row>
    <row r="37" customFormat="false" ht="18" hidden="false" customHeight="true" outlineLevel="0" collapsed="false">
      <c r="A37" s="15" t="s">
        <v>1925</v>
      </c>
      <c r="B37" s="55" t="s">
        <v>1736</v>
      </c>
      <c r="C37" s="80" t="n">
        <v>1</v>
      </c>
      <c r="D37" s="55" t="s">
        <v>163</v>
      </c>
    </row>
    <row r="38" customFormat="false" ht="18" hidden="false" customHeight="true" outlineLevel="0" collapsed="false">
      <c r="A38" s="20" t="s">
        <v>1926</v>
      </c>
      <c r="B38" s="54" t="s">
        <v>1736</v>
      </c>
      <c r="C38" s="79" t="n">
        <v>5.9</v>
      </c>
      <c r="D38" s="54" t="s">
        <v>190</v>
      </c>
    </row>
    <row r="39" customFormat="false" ht="18" hidden="false" customHeight="true" outlineLevel="0" collapsed="false">
      <c r="A39" s="15" t="s">
        <v>1927</v>
      </c>
      <c r="B39" s="55" t="s">
        <v>1736</v>
      </c>
      <c r="C39" s="80" t="n">
        <v>0.82</v>
      </c>
      <c r="D39" s="55" t="s">
        <v>266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A1:G1"/>
    <mergeCell ref="A3:G3"/>
    <mergeCell ref="A13:G13"/>
    <mergeCell ref="A19:G19"/>
    <mergeCell ref="A26:G26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0"/>
    <col collapsed="false" customWidth="true" hidden="false" outlineLevel="0" max="26" min="3" style="1" width="8.71"/>
  </cols>
  <sheetData>
    <row r="1" customFormat="false" ht="27.75" hidden="false" customHeight="true" outlineLevel="0" collapsed="false">
      <c r="A1" s="10" t="s">
        <v>1928</v>
      </c>
      <c r="B1" s="10"/>
      <c r="C1" s="10"/>
      <c r="D1" s="10"/>
      <c r="E1" s="10"/>
      <c r="F1" s="10"/>
      <c r="G1" s="10"/>
      <c r="H1" s="10"/>
      <c r="I1" s="10"/>
      <c r="J1" s="10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1929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1.5" hidden="false" customHeight="true" outlineLevel="0" collapsed="false">
      <c r="A5" s="82" t="s">
        <v>1930</v>
      </c>
      <c r="B5" s="83" t="s">
        <v>1931</v>
      </c>
      <c r="C5" s="83"/>
      <c r="D5" s="83"/>
      <c r="E5" s="83"/>
      <c r="F5" s="83"/>
      <c r="G5" s="83"/>
      <c r="H5" s="83"/>
      <c r="I5" s="83"/>
      <c r="J5" s="83"/>
    </row>
    <row r="6" customFormat="false" ht="31.5" hidden="false" customHeight="true" outlineLevel="0" collapsed="false">
      <c r="A6" s="84" t="s">
        <v>1932</v>
      </c>
      <c r="B6" s="85" t="s">
        <v>1933</v>
      </c>
      <c r="C6" s="85"/>
      <c r="D6" s="85"/>
      <c r="E6" s="85"/>
      <c r="F6" s="85"/>
      <c r="G6" s="85"/>
      <c r="H6" s="85"/>
      <c r="I6" s="85"/>
      <c r="J6" s="85"/>
    </row>
    <row r="7" customFormat="false" ht="31.5" hidden="false" customHeight="true" outlineLevel="0" collapsed="false">
      <c r="A7" s="82" t="s">
        <v>1934</v>
      </c>
      <c r="B7" s="83" t="s">
        <v>1935</v>
      </c>
      <c r="C7" s="83"/>
      <c r="D7" s="83"/>
      <c r="E7" s="83"/>
      <c r="F7" s="83"/>
      <c r="G7" s="83"/>
      <c r="H7" s="83"/>
      <c r="I7" s="83"/>
      <c r="J7" s="83"/>
    </row>
    <row r="8" customFormat="false" ht="31.5" hidden="false" customHeight="true" outlineLevel="0" collapsed="false">
      <c r="A8" s="84" t="s">
        <v>1936</v>
      </c>
      <c r="B8" s="85" t="s">
        <v>1937</v>
      </c>
      <c r="C8" s="85"/>
      <c r="D8" s="85"/>
      <c r="E8" s="85"/>
      <c r="F8" s="85"/>
      <c r="G8" s="85"/>
      <c r="H8" s="85"/>
      <c r="I8" s="85"/>
      <c r="J8" s="85"/>
    </row>
    <row r="9" customFormat="false" ht="31.5" hidden="false" customHeight="true" outlineLevel="0" collapsed="false">
      <c r="A9" s="82" t="s">
        <v>1938</v>
      </c>
      <c r="B9" s="83" t="s">
        <v>1939</v>
      </c>
      <c r="C9" s="83"/>
      <c r="D9" s="83"/>
      <c r="E9" s="83"/>
      <c r="F9" s="83"/>
      <c r="G9" s="83"/>
      <c r="H9" s="83"/>
      <c r="I9" s="83"/>
      <c r="J9" s="83"/>
    </row>
    <row r="10" customFormat="false" ht="31.5" hidden="false" customHeight="true" outlineLevel="0" collapsed="false">
      <c r="A10" s="84" t="s">
        <v>1940</v>
      </c>
      <c r="B10" s="85" t="s">
        <v>1941</v>
      </c>
      <c r="C10" s="85"/>
      <c r="D10" s="85"/>
      <c r="E10" s="85"/>
      <c r="F10" s="85"/>
      <c r="G10" s="85"/>
      <c r="H10" s="85"/>
      <c r="I10" s="85"/>
      <c r="J10" s="85"/>
    </row>
    <row r="11" customFormat="false" ht="7.5" hidden="false" customHeight="true" outlineLevel="0" collapsed="false"/>
    <row r="12" customFormat="false" ht="21.75" hidden="false" customHeight="true" outlineLevel="0" collapsed="false">
      <c r="A12" s="86" t="s">
        <v>1942</v>
      </c>
      <c r="B12" s="86"/>
      <c r="C12" s="86"/>
      <c r="D12" s="86"/>
      <c r="E12" s="86"/>
      <c r="F12" s="86"/>
      <c r="G12" s="86"/>
      <c r="H12" s="86"/>
      <c r="I12" s="86"/>
      <c r="J12" s="86"/>
    </row>
    <row r="13" customFormat="false" ht="31.5" hidden="false" customHeight="true" outlineLevel="0" collapsed="false">
      <c r="A13" s="87" t="s">
        <v>1943</v>
      </c>
      <c r="B13" s="83" t="s">
        <v>1944</v>
      </c>
      <c r="C13" s="83"/>
      <c r="D13" s="83"/>
      <c r="E13" s="83"/>
      <c r="F13" s="83"/>
      <c r="G13" s="83"/>
      <c r="H13" s="83"/>
      <c r="I13" s="83"/>
      <c r="J13" s="83"/>
    </row>
    <row r="14" customFormat="false" ht="31.5" hidden="false" customHeight="true" outlineLevel="0" collapsed="false">
      <c r="A14" s="88" t="s">
        <v>1945</v>
      </c>
      <c r="B14" s="85" t="s">
        <v>1946</v>
      </c>
      <c r="C14" s="85"/>
      <c r="D14" s="85"/>
      <c r="E14" s="85"/>
      <c r="F14" s="85"/>
      <c r="G14" s="85"/>
      <c r="H14" s="85"/>
      <c r="I14" s="85"/>
      <c r="J14" s="85"/>
    </row>
    <row r="15" customFormat="false" ht="31.5" hidden="false" customHeight="true" outlineLevel="0" collapsed="false">
      <c r="A15" s="87" t="s">
        <v>1947</v>
      </c>
      <c r="B15" s="83" t="s">
        <v>1948</v>
      </c>
      <c r="C15" s="83"/>
      <c r="D15" s="83"/>
      <c r="E15" s="83"/>
      <c r="F15" s="83"/>
      <c r="G15" s="83"/>
      <c r="H15" s="83"/>
      <c r="I15" s="83"/>
      <c r="J15" s="83"/>
    </row>
    <row r="16" customFormat="false" ht="31.5" hidden="false" customHeight="true" outlineLevel="0" collapsed="false">
      <c r="A16" s="88" t="s">
        <v>1949</v>
      </c>
      <c r="B16" s="85" t="s">
        <v>1950</v>
      </c>
      <c r="C16" s="85"/>
      <c r="D16" s="85"/>
      <c r="E16" s="85"/>
      <c r="F16" s="85"/>
      <c r="G16" s="85"/>
      <c r="H16" s="85"/>
      <c r="I16" s="85"/>
      <c r="J16" s="85"/>
    </row>
    <row r="17" customFormat="false" ht="31.5" hidden="false" customHeight="true" outlineLevel="0" collapsed="false">
      <c r="A17" s="87" t="s">
        <v>1951</v>
      </c>
      <c r="B17" s="83" t="s">
        <v>1952</v>
      </c>
      <c r="C17" s="83"/>
      <c r="D17" s="83"/>
      <c r="E17" s="83"/>
      <c r="F17" s="83"/>
      <c r="G17" s="83"/>
      <c r="H17" s="83"/>
      <c r="I17" s="83"/>
      <c r="J17" s="83"/>
    </row>
    <row r="18" customFormat="false" ht="31.5" hidden="false" customHeight="true" outlineLevel="0" collapsed="false">
      <c r="A18" s="88" t="s">
        <v>1953</v>
      </c>
      <c r="B18" s="85" t="s">
        <v>1954</v>
      </c>
      <c r="C18" s="85"/>
      <c r="D18" s="85"/>
      <c r="E18" s="85"/>
      <c r="F18" s="85"/>
      <c r="G18" s="85"/>
      <c r="H18" s="85"/>
      <c r="I18" s="85"/>
      <c r="J18" s="85"/>
    </row>
    <row r="19" customFormat="false" ht="7.5" hidden="false" customHeight="true" outlineLevel="0" collapsed="false"/>
    <row r="20" customFormat="false" ht="21.75" hidden="false" customHeight="true" outlineLevel="0" collapsed="false">
      <c r="A20" s="89" t="s">
        <v>1955</v>
      </c>
      <c r="B20" s="89"/>
      <c r="C20" s="89"/>
      <c r="D20" s="89"/>
      <c r="E20" s="89"/>
      <c r="F20" s="89"/>
      <c r="G20" s="89"/>
      <c r="H20" s="89"/>
      <c r="I20" s="89"/>
      <c r="J20" s="89"/>
    </row>
    <row r="21" customFormat="false" ht="31.5" hidden="false" customHeight="true" outlineLevel="0" collapsed="false">
      <c r="A21" s="90" t="s">
        <v>1956</v>
      </c>
      <c r="B21" s="83" t="s">
        <v>1957</v>
      </c>
      <c r="C21" s="83"/>
      <c r="D21" s="83"/>
      <c r="E21" s="83"/>
      <c r="F21" s="83"/>
      <c r="G21" s="83"/>
      <c r="H21" s="83"/>
      <c r="I21" s="83"/>
      <c r="J21" s="83"/>
    </row>
    <row r="22" customFormat="false" ht="31.5" hidden="false" customHeight="true" outlineLevel="0" collapsed="false">
      <c r="A22" s="91" t="s">
        <v>1958</v>
      </c>
      <c r="B22" s="85" t="s">
        <v>1959</v>
      </c>
      <c r="C22" s="85"/>
      <c r="D22" s="85"/>
      <c r="E22" s="85"/>
      <c r="F22" s="85"/>
      <c r="G22" s="85"/>
      <c r="H22" s="85"/>
      <c r="I22" s="85"/>
      <c r="J22" s="85"/>
    </row>
    <row r="23" customFormat="false" ht="31.5" hidden="false" customHeight="true" outlineLevel="0" collapsed="false">
      <c r="A23" s="90" t="s">
        <v>1960</v>
      </c>
      <c r="B23" s="83" t="s">
        <v>1961</v>
      </c>
      <c r="C23" s="83"/>
      <c r="D23" s="83"/>
      <c r="E23" s="83"/>
      <c r="F23" s="83"/>
      <c r="G23" s="83"/>
      <c r="H23" s="83"/>
      <c r="I23" s="83"/>
      <c r="J23" s="83"/>
    </row>
    <row r="24" customFormat="false" ht="31.5" hidden="false" customHeight="true" outlineLevel="0" collapsed="false">
      <c r="A24" s="91" t="s">
        <v>1962</v>
      </c>
      <c r="B24" s="85" t="s">
        <v>1963</v>
      </c>
      <c r="C24" s="85"/>
      <c r="D24" s="85"/>
      <c r="E24" s="85"/>
      <c r="F24" s="85"/>
      <c r="G24" s="85"/>
      <c r="H24" s="85"/>
      <c r="I24" s="85"/>
      <c r="J24" s="85"/>
    </row>
    <row r="25" customFormat="false" ht="31.5" hidden="false" customHeight="true" outlineLevel="0" collapsed="false">
      <c r="A25" s="90" t="s">
        <v>1964</v>
      </c>
      <c r="B25" s="83" t="s">
        <v>1965</v>
      </c>
      <c r="C25" s="83"/>
      <c r="D25" s="83"/>
      <c r="E25" s="83"/>
      <c r="F25" s="83"/>
      <c r="G25" s="83"/>
      <c r="H25" s="83"/>
      <c r="I25" s="83"/>
      <c r="J25" s="83"/>
    </row>
    <row r="26" customFormat="false" ht="7.5" hidden="false" customHeight="true" outlineLevel="0" collapsed="false"/>
    <row r="27" customFormat="false" ht="21.75" hidden="false" customHeight="true" outlineLevel="0" collapsed="false">
      <c r="A27" s="86" t="s">
        <v>1966</v>
      </c>
      <c r="B27" s="86"/>
      <c r="C27" s="86"/>
      <c r="D27" s="86"/>
      <c r="E27" s="86"/>
      <c r="F27" s="86"/>
      <c r="G27" s="86"/>
      <c r="H27" s="86"/>
      <c r="I27" s="86"/>
      <c r="J27" s="86"/>
    </row>
    <row r="28" customFormat="false" ht="31.5" hidden="false" customHeight="true" outlineLevel="0" collapsed="false">
      <c r="A28" s="87" t="s">
        <v>1967</v>
      </c>
      <c r="B28" s="83" t="s">
        <v>1968</v>
      </c>
      <c r="C28" s="83"/>
      <c r="D28" s="83"/>
      <c r="E28" s="83"/>
      <c r="F28" s="83"/>
      <c r="G28" s="83"/>
      <c r="H28" s="83"/>
      <c r="I28" s="83"/>
      <c r="J28" s="83"/>
    </row>
    <row r="29" customFormat="false" ht="31.5" hidden="false" customHeight="true" outlineLevel="0" collapsed="false">
      <c r="A29" s="88" t="s">
        <v>1969</v>
      </c>
      <c r="B29" s="85" t="s">
        <v>1970</v>
      </c>
      <c r="C29" s="85"/>
      <c r="D29" s="85"/>
      <c r="E29" s="85"/>
      <c r="F29" s="85"/>
      <c r="G29" s="85"/>
      <c r="H29" s="85"/>
      <c r="I29" s="85"/>
      <c r="J29" s="85"/>
    </row>
    <row r="30" customFormat="false" ht="31.5" hidden="false" customHeight="true" outlineLevel="0" collapsed="false">
      <c r="A30" s="87" t="s">
        <v>1971</v>
      </c>
      <c r="B30" s="83" t="s">
        <v>1972</v>
      </c>
      <c r="C30" s="83"/>
      <c r="D30" s="83"/>
      <c r="E30" s="83"/>
      <c r="F30" s="83"/>
      <c r="G30" s="83"/>
      <c r="H30" s="83"/>
      <c r="I30" s="83"/>
      <c r="J30" s="83"/>
    </row>
    <row r="31" customFormat="false" ht="31.5" hidden="false" customHeight="true" outlineLevel="0" collapsed="false">
      <c r="A31" s="88" t="s">
        <v>1973</v>
      </c>
      <c r="B31" s="85" t="s">
        <v>1974</v>
      </c>
      <c r="C31" s="85"/>
      <c r="D31" s="85"/>
      <c r="E31" s="85"/>
      <c r="F31" s="85"/>
      <c r="G31" s="85"/>
      <c r="H31" s="85"/>
      <c r="I31" s="85"/>
      <c r="J31" s="85"/>
    </row>
    <row r="32" customFormat="false" ht="31.5" hidden="false" customHeight="true" outlineLevel="0" collapsed="false">
      <c r="A32" s="87" t="s">
        <v>1975</v>
      </c>
      <c r="B32" s="83" t="s">
        <v>1976</v>
      </c>
      <c r="C32" s="83"/>
      <c r="D32" s="83"/>
      <c r="E32" s="83"/>
      <c r="F32" s="83"/>
      <c r="G32" s="83"/>
      <c r="H32" s="83"/>
      <c r="I32" s="83"/>
      <c r="J32" s="83"/>
    </row>
    <row r="33" customFormat="false" ht="7.5" hidden="false" customHeight="true" outlineLevel="0" collapsed="false"/>
    <row r="34" customFormat="false" ht="21.75" hidden="false" customHeight="true" outlineLevel="0" collapsed="false">
      <c r="A34" s="92" t="s">
        <v>1977</v>
      </c>
      <c r="B34" s="92"/>
      <c r="C34" s="92"/>
      <c r="D34" s="92"/>
      <c r="E34" s="92"/>
      <c r="F34" s="92"/>
      <c r="G34" s="92"/>
      <c r="H34" s="92"/>
      <c r="I34" s="92"/>
      <c r="J34" s="92"/>
    </row>
    <row r="35" customFormat="false" ht="31.5" hidden="false" customHeight="true" outlineLevel="0" collapsed="false">
      <c r="A35" s="93" t="s">
        <v>1978</v>
      </c>
      <c r="B35" s="83" t="s">
        <v>1979</v>
      </c>
      <c r="C35" s="83"/>
      <c r="D35" s="83"/>
      <c r="E35" s="83"/>
      <c r="F35" s="83"/>
      <c r="G35" s="83"/>
      <c r="H35" s="83"/>
      <c r="I35" s="83"/>
      <c r="J35" s="83"/>
    </row>
    <row r="36" customFormat="false" ht="31.5" hidden="false" customHeight="true" outlineLevel="0" collapsed="false">
      <c r="A36" s="94" t="s">
        <v>1980</v>
      </c>
      <c r="B36" s="85" t="s">
        <v>1981</v>
      </c>
      <c r="C36" s="85"/>
      <c r="D36" s="85"/>
      <c r="E36" s="85"/>
      <c r="F36" s="85"/>
      <c r="G36" s="85"/>
      <c r="H36" s="85"/>
      <c r="I36" s="85"/>
      <c r="J36" s="85"/>
    </row>
    <row r="37" customFormat="false" ht="31.5" hidden="false" customHeight="true" outlineLevel="0" collapsed="false">
      <c r="A37" s="93" t="s">
        <v>1982</v>
      </c>
      <c r="B37" s="83" t="s">
        <v>1983</v>
      </c>
      <c r="C37" s="83"/>
      <c r="D37" s="83"/>
      <c r="E37" s="83"/>
      <c r="F37" s="83"/>
      <c r="G37" s="83"/>
      <c r="H37" s="83"/>
      <c r="I37" s="83"/>
      <c r="J37" s="83"/>
    </row>
    <row r="38" customFormat="false" ht="31.5" hidden="false" customHeight="true" outlineLevel="0" collapsed="false">
      <c r="A38" s="94" t="s">
        <v>1984</v>
      </c>
      <c r="B38" s="85" t="s">
        <v>1985</v>
      </c>
      <c r="C38" s="85"/>
      <c r="D38" s="85"/>
      <c r="E38" s="85"/>
      <c r="F38" s="85"/>
      <c r="G38" s="85"/>
      <c r="H38" s="85"/>
      <c r="I38" s="85"/>
      <c r="J38" s="85"/>
    </row>
    <row r="39" customFormat="false" ht="31.5" hidden="false" customHeight="true" outlineLevel="0" collapsed="false">
      <c r="A39" s="93" t="s">
        <v>1986</v>
      </c>
      <c r="B39" s="83" t="s">
        <v>1987</v>
      </c>
      <c r="C39" s="83"/>
      <c r="D39" s="83"/>
      <c r="E39" s="83"/>
      <c r="F39" s="83"/>
      <c r="G39" s="83"/>
      <c r="H39" s="83"/>
      <c r="I39" s="83"/>
      <c r="J39" s="83"/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3">
    <mergeCell ref="A1:J1"/>
    <mergeCell ref="A4:J4"/>
    <mergeCell ref="B5:J5"/>
    <mergeCell ref="B6:J6"/>
    <mergeCell ref="B7:J7"/>
    <mergeCell ref="B8:J8"/>
    <mergeCell ref="B9:J9"/>
    <mergeCell ref="B10:J10"/>
    <mergeCell ref="A12:J12"/>
    <mergeCell ref="B13:J13"/>
    <mergeCell ref="B14:J14"/>
    <mergeCell ref="B15:J15"/>
    <mergeCell ref="B16:J16"/>
    <mergeCell ref="B17:J17"/>
    <mergeCell ref="B18:J18"/>
    <mergeCell ref="A20:J20"/>
    <mergeCell ref="B21:J21"/>
    <mergeCell ref="B22:J22"/>
    <mergeCell ref="B23:J23"/>
    <mergeCell ref="B24:J24"/>
    <mergeCell ref="B25:J25"/>
    <mergeCell ref="A27:J27"/>
    <mergeCell ref="B28:J28"/>
    <mergeCell ref="B29:J29"/>
    <mergeCell ref="B30:J30"/>
    <mergeCell ref="B31:J31"/>
    <mergeCell ref="B32:J32"/>
    <mergeCell ref="A34:J34"/>
    <mergeCell ref="B35:J35"/>
    <mergeCell ref="B36:J36"/>
    <mergeCell ref="B37:J37"/>
    <mergeCell ref="B38:J38"/>
    <mergeCell ref="B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2026-04-28T05:43:00Z</dcterms:created>
  <dc:creator>openpyxl</dc:creator>
  <dc:description/>
  <dc:language>en-US</dc:language>
  <cp:lastModifiedBy/>
  <dcterms:modified xsi:type="dcterms:W3CDTF">2026-04-28T11:24:43Z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